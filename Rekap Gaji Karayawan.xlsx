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5"/>
    <sheet state="visible" name="FEBRUARI" sheetId="2" r:id="rId6"/>
    <sheet state="visible" name="MARET" sheetId="3" r:id="rId7"/>
    <sheet state="visible" name="APRIL" sheetId="4" r:id="rId8"/>
    <sheet state="visible" name="MEI" sheetId="5" r:id="rId9"/>
    <sheet state="visible" name="JUNI" sheetId="6" r:id="rId10"/>
    <sheet state="visible" name="JULI" sheetId="7" r:id="rId11"/>
    <sheet state="visible" name="AGUSTUS" sheetId="8" r:id="rId12"/>
    <sheet state="visible" name="SEPTEMBER" sheetId="9" r:id="rId13"/>
    <sheet state="visible" name="OKTOBER" sheetId="10" r:id="rId14"/>
    <sheet state="visible" name="NOVEMBER" sheetId="11" r:id="rId15"/>
    <sheet state="visible" name="DESEMBER" sheetId="12" r:id="rId16"/>
  </sheets>
  <definedNames/>
  <calcPr/>
</workbook>
</file>

<file path=xl/sharedStrings.xml><?xml version="1.0" encoding="utf-8"?>
<sst xmlns="http://schemas.openxmlformats.org/spreadsheetml/2006/main" count="353" uniqueCount="24">
  <si>
    <t>LAPORAN GAJI KARYAWAN TOPI</t>
  </si>
  <si>
    <t>PENDAPATAN</t>
  </si>
  <si>
    <t>POTONGAN</t>
  </si>
  <si>
    <t>GAJI BERSIH</t>
  </si>
  <si>
    <t>KETERANGAN</t>
  </si>
  <si>
    <t>LEMBUR</t>
  </si>
  <si>
    <t>NO</t>
  </si>
  <si>
    <t>NAMA</t>
  </si>
  <si>
    <t>JABATAN</t>
  </si>
  <si>
    <t>SHIFT KERJA</t>
  </si>
  <si>
    <t>MASUK KERJA</t>
  </si>
  <si>
    <t>GAJI HARIAN</t>
  </si>
  <si>
    <t>GAJI POKOK</t>
  </si>
  <si>
    <t>UANG MAKAN</t>
  </si>
  <si>
    <t>UANG MAKAN TAMBAHAN</t>
  </si>
  <si>
    <t>PREMI</t>
  </si>
  <si>
    <t>BONUS</t>
  </si>
  <si>
    <t>THR</t>
  </si>
  <si>
    <t>JUMLAH PENDAPATAN</t>
  </si>
  <si>
    <t>POT</t>
  </si>
  <si>
    <t>JUMLAH POTONGAN</t>
  </si>
  <si>
    <t>TOTAL</t>
  </si>
  <si>
    <t xml:space="preserve"> </t>
  </si>
  <si>
    <t>QQ6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</si>
</sst>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ddd, d mmmm"/>
    <numFmt numFmtId="166" formatCode="[$Rp]#,##0"/>
    <numFmt numFmtId="167" formatCode="&quot;Rp&quot;#,##0"/>
    <numFmt numFmtId="168" formatCode="[$Rp-421]#,##0"/>
  </numFmts>
  <fonts count="29">
    <font>
      <sz val="10.0"/>
      <color rgb="FF000000"/>
      <name val="Arial"/>
      <scheme val="minor"/>
    </font>
    <font>
      <sz val="40.0"/>
      <color rgb="FFFFFFFF"/>
      <name val="Arial"/>
      <scheme val="minor"/>
    </font>
    <font/>
    <font>
      <b/>
      <sz val="15.0"/>
      <color rgb="FFFFFFFF"/>
      <name val="Arial"/>
      <scheme val="minor"/>
    </font>
    <font>
      <sz val="15.0"/>
      <color rgb="FFFFFFFF"/>
      <name val="Calibri"/>
    </font>
    <font>
      <b/>
      <sz val="20.0"/>
      <color rgb="FFFFFFFF"/>
      <name val="Calibri"/>
    </font>
    <font>
      <color theme="1"/>
      <name val="Arial"/>
    </font>
    <font>
      <sz val="20.0"/>
      <color rgb="FFFFFFFF"/>
      <name val="Arial"/>
    </font>
    <font>
      <color theme="1"/>
      <name val="Arial"/>
      <scheme val="minor"/>
    </font>
    <font>
      <sz val="16.0"/>
      <color theme="1"/>
      <name val="Arial"/>
    </font>
    <font>
      <sz val="16.0"/>
      <color theme="1"/>
      <name val="Arial"/>
      <scheme val="minor"/>
    </font>
    <font>
      <sz val="17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sz val="16.0"/>
      <color rgb="FFFFFFFF"/>
      <name val="Arial"/>
    </font>
    <font>
      <sz val="12.0"/>
      <color theme="1"/>
      <name val="Arial"/>
    </font>
    <font>
      <b/>
      <sz val="20.0"/>
      <color rgb="FFFF0000"/>
      <name val="Calibri"/>
    </font>
    <font>
      <sz val="11.0"/>
      <color theme="1"/>
      <name val="Arial"/>
    </font>
    <font>
      <b/>
      <sz val="60.0"/>
      <color rgb="FFFFFFFF"/>
      <name val="Arial"/>
    </font>
    <font>
      <b/>
      <i/>
      <sz val="50.0"/>
      <color rgb="FFFFFFFF"/>
      <name val="Arial"/>
    </font>
    <font>
      <sz val="13.0"/>
      <color theme="1"/>
      <name val="Arial"/>
    </font>
    <font>
      <sz val="15.0"/>
      <color theme="1"/>
      <name val="Arial"/>
    </font>
    <font>
      <sz val="15.0"/>
      <color theme="1"/>
      <name val="Arial"/>
      <scheme val="minor"/>
    </font>
    <font>
      <sz val="12.0"/>
      <color theme="1"/>
      <name val="Arial"/>
      <scheme val="minor"/>
    </font>
    <font>
      <sz val="40.0"/>
      <color rgb="FFFFFFFF"/>
      <name val="Arial"/>
    </font>
    <font>
      <sz val="11.0"/>
      <color theme="1"/>
      <name val="Arial"/>
      <scheme val="minor"/>
    </font>
    <font>
      <b/>
      <sz val="40.0"/>
      <color rgb="FFFFFFFF"/>
      <name val="Arial"/>
      <scheme val="minor"/>
    </font>
    <font>
      <b/>
      <sz val="40.0"/>
      <color rgb="FFFFFFFF"/>
      <name val="Arial"/>
    </font>
    <font>
      <sz val="17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 readingOrder="0" shrinkToFit="0" vertical="center" wrapText="0"/>
    </xf>
    <xf borderId="8" fillId="2" fontId="3" numFmtId="0" xfId="0" applyAlignment="1" applyBorder="1" applyFont="1">
      <alignment horizontal="center" readingOrder="0" shrinkToFit="0" vertical="center" wrapText="0"/>
    </xf>
    <xf borderId="9" fillId="0" fontId="2" numFmtId="0" xfId="0" applyBorder="1" applyFont="1"/>
    <xf borderId="10" fillId="0" fontId="2" numFmtId="0" xfId="0" applyBorder="1" applyFont="1"/>
    <xf borderId="8" fillId="2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readingOrder="0" vertical="center"/>
    </xf>
    <xf borderId="7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12" fillId="0" fontId="2" numFmtId="0" xfId="0" applyBorder="1" applyFont="1"/>
    <xf borderId="7" fillId="2" fontId="4" numFmtId="0" xfId="0" applyAlignment="1" applyBorder="1" applyFont="1">
      <alignment horizontal="center" readingOrder="0" vertical="top"/>
    </xf>
    <xf borderId="7" fillId="2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 vertical="bottom"/>
    </xf>
    <xf borderId="0" fillId="2" fontId="5" numFmtId="0" xfId="0" applyAlignment="1" applyFont="1">
      <alignment horizontal="center" vertical="center"/>
    </xf>
    <xf borderId="0" fillId="2" fontId="6" numFmtId="165" xfId="0" applyAlignment="1" applyFont="1" applyNumberFormat="1">
      <alignment vertical="center"/>
    </xf>
    <xf borderId="0" fillId="2" fontId="7" numFmtId="166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13" fillId="3" fontId="9" numFmtId="0" xfId="0" applyAlignment="1" applyBorder="1" applyFill="1" applyFont="1">
      <alignment horizontal="center" vertical="center"/>
    </xf>
    <xf borderId="13" fillId="3" fontId="10" numFmtId="0" xfId="0" applyAlignment="1" applyBorder="1" applyFont="1">
      <alignment horizontal="center" vertical="center"/>
    </xf>
    <xf borderId="14" fillId="3" fontId="10" numFmtId="0" xfId="0" applyAlignment="1" applyBorder="1" applyFont="1">
      <alignment horizontal="center" vertical="center"/>
    </xf>
    <xf borderId="13" fillId="3" fontId="10" numFmtId="0" xfId="0" applyAlignment="1" applyBorder="1" applyFont="1">
      <alignment horizontal="center" vertical="center"/>
    </xf>
    <xf borderId="15" fillId="3" fontId="10" numFmtId="0" xfId="0" applyAlignment="1" applyBorder="1" applyFont="1">
      <alignment horizontal="center" vertical="center"/>
    </xf>
    <xf borderId="16" fillId="3" fontId="11" numFmtId="167" xfId="0" applyAlignment="1" applyBorder="1" applyFont="1" applyNumberFormat="1">
      <alignment horizontal="center" readingOrder="0" vertical="center"/>
    </xf>
    <xf borderId="17" fillId="3" fontId="9" numFmtId="167" xfId="0" applyAlignment="1" applyBorder="1" applyFont="1" applyNumberFormat="1">
      <alignment horizontal="center" vertical="center"/>
    </xf>
    <xf borderId="17" fillId="0" fontId="6" numFmtId="168" xfId="0" applyAlignment="1" applyBorder="1" applyFont="1" applyNumberFormat="1">
      <alignment vertical="center"/>
    </xf>
    <xf borderId="15" fillId="3" fontId="9" numFmtId="168" xfId="0" applyAlignment="1" applyBorder="1" applyFont="1" applyNumberFormat="1">
      <alignment horizontal="center" vertical="center"/>
    </xf>
    <xf borderId="17" fillId="3" fontId="12" numFmtId="167" xfId="0" applyAlignment="1" applyBorder="1" applyFont="1" applyNumberFormat="1">
      <alignment horizontal="center" vertical="center"/>
    </xf>
    <xf borderId="17" fillId="0" fontId="9" numFmtId="166" xfId="0" applyAlignment="1" applyBorder="1" applyFont="1" applyNumberFormat="1">
      <alignment horizontal="center" readingOrder="0" vertical="center"/>
    </xf>
    <xf borderId="17" fillId="0" fontId="9" numFmtId="166" xfId="0" applyAlignment="1" applyBorder="1" applyFont="1" applyNumberFormat="1">
      <alignment horizontal="center" vertical="center"/>
    </xf>
    <xf borderId="17" fillId="3" fontId="12" numFmtId="168" xfId="0" applyAlignment="1" applyBorder="1" applyFont="1" applyNumberFormat="1">
      <alignment horizontal="center" vertical="center"/>
    </xf>
    <xf borderId="17" fillId="3" fontId="13" numFmtId="167" xfId="0" applyAlignment="1" applyBorder="1" applyFont="1" applyNumberFormat="1">
      <alignment horizontal="center" vertical="center"/>
    </xf>
    <xf borderId="15" fillId="3" fontId="6" numFmtId="0" xfId="0" applyAlignment="1" applyBorder="1" applyFont="1">
      <alignment vertical="center"/>
    </xf>
    <xf borderId="13" fillId="3" fontId="9" numFmtId="3" xfId="0" applyAlignment="1" applyBorder="1" applyFont="1" applyNumberFormat="1">
      <alignment horizontal="center" vertical="center"/>
    </xf>
    <xf borderId="17" fillId="4" fontId="6" numFmtId="168" xfId="0" applyAlignment="1" applyBorder="1" applyFill="1" applyFont="1" applyNumberFormat="1">
      <alignment vertical="center"/>
    </xf>
    <xf borderId="13" fillId="3" fontId="9" numFmtId="0" xfId="0" applyAlignment="1" applyBorder="1" applyFont="1">
      <alignment horizontal="center" vertical="center"/>
    </xf>
    <xf borderId="17" fillId="0" fontId="9" numFmtId="168" xfId="0" applyAlignment="1" applyBorder="1" applyFont="1" applyNumberFormat="1">
      <alignment horizontal="center" vertical="center"/>
    </xf>
    <xf borderId="17" fillId="0" fontId="6" numFmtId="0" xfId="0" applyAlignment="1" applyBorder="1" applyFont="1">
      <alignment vertical="center"/>
    </xf>
    <xf borderId="16" fillId="3" fontId="6" numFmtId="167" xfId="0" applyAlignment="1" applyBorder="1" applyFont="1" applyNumberFormat="1">
      <alignment vertical="center"/>
    </xf>
    <xf borderId="13" fillId="3" fontId="8" numFmtId="0" xfId="0" applyAlignment="1" applyBorder="1" applyFont="1">
      <alignment horizontal="center" vertical="center"/>
    </xf>
    <xf borderId="14" fillId="3" fontId="8" numFmtId="0" xfId="0" applyAlignment="1" applyBorder="1" applyFont="1">
      <alignment horizontal="center" vertical="center"/>
    </xf>
    <xf borderId="13" fillId="3" fontId="8" numFmtId="0" xfId="0" applyAlignment="1" applyBorder="1" applyFont="1">
      <alignment horizontal="center" vertical="center"/>
    </xf>
    <xf borderId="13" fillId="3" fontId="6" numFmtId="0" xfId="0" applyAlignment="1" applyBorder="1" applyFont="1">
      <alignment vertical="center"/>
    </xf>
    <xf borderId="14" fillId="3" fontId="6" numFmtId="0" xfId="0" applyAlignment="1" applyBorder="1" applyFont="1">
      <alignment vertical="center"/>
    </xf>
    <xf borderId="13" fillId="3" fontId="6" numFmtId="0" xfId="0" applyAlignment="1" applyBorder="1" applyFont="1">
      <alignment vertical="center"/>
    </xf>
    <xf borderId="15" fillId="3" fontId="9" numFmtId="0" xfId="0" applyAlignment="1" applyBorder="1" applyFont="1">
      <alignment horizontal="center" vertical="center"/>
    </xf>
    <xf borderId="13" fillId="3" fontId="6" numFmtId="167" xfId="0" applyAlignment="1" applyBorder="1" applyFont="1" applyNumberFormat="1">
      <alignment vertical="center"/>
    </xf>
    <xf borderId="0" fillId="2" fontId="6" numFmtId="0" xfId="0" applyAlignment="1" applyFont="1">
      <alignment vertical="center"/>
    </xf>
    <xf borderId="0" fillId="2" fontId="14" numFmtId="0" xfId="0" applyAlignment="1" applyFont="1">
      <alignment horizontal="center" vertical="center"/>
    </xf>
    <xf borderId="0" fillId="2" fontId="13" numFmtId="167" xfId="0" applyAlignment="1" applyFont="1" applyNumberFormat="1">
      <alignment horizontal="center" vertical="center"/>
    </xf>
    <xf borderId="0" fillId="2" fontId="6" numFmtId="167" xfId="0" applyAlignment="1" applyFont="1" applyNumberFormat="1">
      <alignment vertical="center"/>
    </xf>
    <xf borderId="13" fillId="2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vertical="center"/>
    </xf>
    <xf borderId="17" fillId="0" fontId="10" numFmtId="168" xfId="0" applyAlignment="1" applyBorder="1" applyFont="1" applyNumberFormat="1">
      <alignment horizontal="center" vertical="center"/>
    </xf>
    <xf borderId="17" fillId="0" fontId="15" numFmtId="166" xfId="0" applyAlignment="1" applyBorder="1" applyFont="1" applyNumberFormat="1">
      <alignment horizontal="center" vertical="center"/>
    </xf>
    <xf borderId="0" fillId="0" fontId="16" numFmtId="0" xfId="0" applyAlignment="1" applyFont="1">
      <alignment vertical="top"/>
    </xf>
    <xf borderId="0" fillId="2" fontId="6" numFmtId="165" xfId="0" applyAlignment="1" applyFont="1" applyNumberFormat="1">
      <alignment horizontal="center" vertical="center"/>
    </xf>
    <xf borderId="15" fillId="3" fontId="6" numFmtId="0" xfId="0" applyAlignment="1" applyBorder="1" applyFont="1">
      <alignment horizontal="center" vertical="center"/>
    </xf>
    <xf borderId="17" fillId="0" fontId="17" numFmtId="168" xfId="0" applyAlignment="1" applyBorder="1" applyFont="1" applyNumberFormat="1">
      <alignment readingOrder="0" vertical="center"/>
    </xf>
    <xf borderId="0" fillId="2" fontId="18" numFmtId="0" xfId="0" applyAlignment="1" applyFont="1">
      <alignment horizontal="center" vertical="center"/>
    </xf>
    <xf borderId="0" fillId="2" fontId="19" numFmtId="167" xfId="0" applyAlignment="1" applyFont="1" applyNumberFormat="1">
      <alignment horizontal="center" vertical="center"/>
    </xf>
    <xf borderId="0" fillId="2" fontId="6" numFmtId="0" xfId="0" applyAlignment="1" applyFont="1">
      <alignment vertical="center"/>
    </xf>
    <xf borderId="0" fillId="0" fontId="8" numFmtId="0" xfId="0" applyAlignment="1" applyFont="1">
      <alignment readingOrder="0"/>
    </xf>
    <xf borderId="3" fillId="2" fontId="1" numFmtId="0" xfId="0" applyAlignment="1" applyBorder="1" applyFont="1">
      <alignment readingOrder="0" vertical="center"/>
    </xf>
    <xf borderId="6" fillId="2" fontId="1" numFmtId="0" xfId="0" applyAlignment="1" applyBorder="1" applyFont="1">
      <alignment readingOrder="0" vertical="center"/>
    </xf>
    <xf borderId="15" fillId="3" fontId="10" numFmtId="0" xfId="0" applyAlignment="1" applyBorder="1" applyFont="1">
      <alignment vertical="center"/>
    </xf>
    <xf borderId="17" fillId="0" fontId="20" numFmtId="166" xfId="0" applyAlignment="1" applyBorder="1" applyFont="1" applyNumberFormat="1">
      <alignment horizontal="center" vertical="center"/>
    </xf>
    <xf borderId="17" fillId="0" fontId="20" numFmtId="166" xfId="0" applyAlignment="1" applyBorder="1" applyFont="1" applyNumberFormat="1">
      <alignment horizontal="center" readingOrder="0" vertical="center"/>
    </xf>
    <xf borderId="13" fillId="3" fontId="10" numFmtId="0" xfId="0" applyAlignment="1" applyBorder="1" applyFont="1">
      <alignment vertical="center"/>
    </xf>
    <xf borderId="0" fillId="0" fontId="8" numFmtId="0" xfId="0" applyAlignment="1" applyFont="1">
      <alignment horizontal="center" readingOrder="0" vertical="center"/>
    </xf>
    <xf borderId="17" fillId="0" fontId="21" numFmtId="168" xfId="0" applyAlignment="1" applyBorder="1" applyFont="1" applyNumberFormat="1">
      <alignment horizontal="center" readingOrder="0" vertical="center"/>
    </xf>
    <xf borderId="17" fillId="0" fontId="22" numFmtId="166" xfId="0" applyAlignment="1" applyBorder="1" applyFont="1" applyNumberFormat="1">
      <alignment horizontal="center" vertical="center"/>
    </xf>
    <xf borderId="17" fillId="0" fontId="23" numFmtId="166" xfId="0" applyAlignment="1" applyBorder="1" applyFont="1" applyNumberFormat="1">
      <alignment horizontal="center" vertical="center"/>
    </xf>
    <xf borderId="1" fillId="2" fontId="24" numFmtId="0" xfId="0" applyAlignment="1" applyBorder="1" applyFont="1">
      <alignment vertical="center"/>
    </xf>
    <xf borderId="0" fillId="2" fontId="5" numFmtId="0" xfId="0" applyAlignment="1" applyFont="1">
      <alignment horizontal="center"/>
    </xf>
    <xf borderId="0" fillId="2" fontId="6" numFmtId="165" xfId="0" applyFont="1" applyNumberFormat="1"/>
    <xf borderId="0" fillId="2" fontId="7" numFmtId="166" xfId="0" applyAlignment="1" applyFont="1" applyNumberFormat="1">
      <alignment horizontal="center"/>
    </xf>
    <xf borderId="0" fillId="2" fontId="6" numFmtId="165" xfId="0" applyAlignment="1" applyFont="1" applyNumberFormat="1">
      <alignment vertical="bottom"/>
    </xf>
    <xf borderId="15" fillId="3" fontId="9" numFmtId="0" xfId="0" applyAlignment="1" applyBorder="1" applyFont="1">
      <alignment horizontal="center"/>
    </xf>
    <xf borderId="17" fillId="3" fontId="9" numFmtId="167" xfId="0" applyAlignment="1" applyBorder="1" applyFont="1" applyNumberFormat="1">
      <alignment horizontal="center"/>
    </xf>
    <xf borderId="17" fillId="0" fontId="6" numFmtId="168" xfId="0" applyBorder="1" applyFont="1" applyNumberFormat="1"/>
    <xf borderId="15" fillId="3" fontId="9" numFmtId="168" xfId="0" applyAlignment="1" applyBorder="1" applyFont="1" applyNumberFormat="1">
      <alignment horizontal="center"/>
    </xf>
    <xf borderId="17" fillId="3" fontId="12" numFmtId="167" xfId="0" applyAlignment="1" applyBorder="1" applyFont="1" applyNumberFormat="1">
      <alignment horizontal="center"/>
    </xf>
    <xf borderId="17" fillId="0" fontId="6" numFmtId="0" xfId="0" applyBorder="1" applyFont="1"/>
    <xf borderId="17" fillId="3" fontId="12" numFmtId="168" xfId="0" applyAlignment="1" applyBorder="1" applyFont="1" applyNumberFormat="1">
      <alignment horizontal="center"/>
    </xf>
    <xf borderId="17" fillId="3" fontId="13" numFmtId="167" xfId="0" applyAlignment="1" applyBorder="1" applyFont="1" applyNumberFormat="1">
      <alignment horizontal="center"/>
    </xf>
    <xf borderId="15" fillId="3" fontId="6" numFmtId="0" xfId="0" applyBorder="1" applyFont="1"/>
    <xf borderId="13" fillId="3" fontId="9" numFmtId="0" xfId="0" applyAlignment="1" applyBorder="1" applyFont="1">
      <alignment horizontal="center" vertical="bottom"/>
    </xf>
    <xf borderId="17" fillId="4" fontId="6" numFmtId="168" xfId="0" applyBorder="1" applyFont="1" applyNumberFormat="1"/>
    <xf borderId="13" fillId="3" fontId="9" numFmtId="0" xfId="0" applyAlignment="1" applyBorder="1" applyFont="1">
      <alignment horizontal="center"/>
    </xf>
    <xf borderId="17" fillId="0" fontId="10" numFmtId="166" xfId="0" applyAlignment="1" applyBorder="1" applyFont="1" applyNumberFormat="1">
      <alignment horizontal="center" readingOrder="0" vertical="center"/>
    </xf>
    <xf borderId="13" fillId="3" fontId="6" numFmtId="0" xfId="0" applyBorder="1" applyFont="1"/>
    <xf borderId="14" fillId="3" fontId="6" numFmtId="0" xfId="0" applyBorder="1" applyFont="1"/>
    <xf borderId="13" fillId="3" fontId="6" numFmtId="0" xfId="0" applyBorder="1" applyFont="1"/>
    <xf borderId="13" fillId="3" fontId="9" numFmtId="0" xfId="0" applyAlignment="1" applyBorder="1" applyFont="1">
      <alignment horizontal="center"/>
    </xf>
    <xf borderId="0" fillId="2" fontId="6" numFmtId="0" xfId="0" applyFont="1"/>
    <xf borderId="0" fillId="2" fontId="14" numFmtId="0" xfId="0" applyAlignment="1" applyFont="1">
      <alignment horizontal="center"/>
    </xf>
    <xf borderId="0" fillId="2" fontId="13" numFmtId="167" xfId="0" applyAlignment="1" applyFont="1" applyNumberFormat="1">
      <alignment horizontal="center"/>
    </xf>
    <xf borderId="0" fillId="2" fontId="6" numFmtId="167" xfId="0" applyFont="1" applyNumberFormat="1"/>
    <xf borderId="13" fillId="2" fontId="6" numFmtId="0" xfId="0" applyAlignment="1" applyBorder="1" applyFont="1">
      <alignment vertical="bottom"/>
    </xf>
    <xf borderId="0" fillId="0" fontId="6" numFmtId="0" xfId="0" applyFont="1"/>
    <xf borderId="0" fillId="0" fontId="6" numFmtId="0" xfId="0" applyFont="1"/>
    <xf borderId="0" fillId="0" fontId="6" numFmtId="0" xfId="0" applyAlignment="1" applyFont="1">
      <alignment vertical="bottom"/>
    </xf>
    <xf borderId="17" fillId="0" fontId="6" numFmtId="168" xfId="0" applyAlignment="1" applyBorder="1" applyFont="1" applyNumberFormat="1">
      <alignment horizontal="center" vertical="center"/>
    </xf>
    <xf borderId="17" fillId="0" fontId="17" numFmtId="168" xfId="0" applyAlignment="1" applyBorder="1" applyFont="1" applyNumberFormat="1">
      <alignment horizontal="center" readingOrder="0" vertical="center"/>
    </xf>
    <xf borderId="17" fillId="0" fontId="6" numFmtId="0" xfId="0" applyAlignment="1" applyBorder="1" applyFont="1">
      <alignment horizontal="center" vertical="center"/>
    </xf>
    <xf borderId="17" fillId="4" fontId="6" numFmtId="168" xfId="0" applyAlignment="1" applyBorder="1" applyFont="1" applyNumberFormat="1">
      <alignment horizontal="center" vertical="center"/>
    </xf>
    <xf borderId="13" fillId="3" fontId="6" numFmtId="0" xfId="0" applyAlignment="1" applyBorder="1" applyFont="1">
      <alignment horizontal="center" vertical="center"/>
    </xf>
    <xf borderId="14" fillId="3" fontId="6" numFmtId="0" xfId="0" applyAlignment="1" applyBorder="1" applyFont="1">
      <alignment horizontal="center" vertical="center"/>
    </xf>
    <xf borderId="13" fillId="3" fontId="6" numFmtId="0" xfId="0" applyAlignment="1" applyBorder="1" applyFont="1">
      <alignment horizontal="center" vertical="center"/>
    </xf>
    <xf borderId="16" fillId="3" fontId="6" numFmtId="167" xfId="0" applyAlignment="1" applyBorder="1" applyFont="1" applyNumberFormat="1">
      <alignment horizontal="center" vertical="center"/>
    </xf>
    <xf borderId="0" fillId="0" fontId="6" numFmtId="167" xfId="0" applyFont="1" applyNumberFormat="1"/>
    <xf borderId="0" fillId="2" fontId="18" numFmtId="0" xfId="0" applyAlignment="1" applyFont="1">
      <alignment horizontal="center"/>
    </xf>
    <xf borderId="0" fillId="2" fontId="19" numFmtId="167" xfId="0" applyAlignment="1" applyFont="1" applyNumberFormat="1">
      <alignment horizontal="center"/>
    </xf>
    <xf borderId="0" fillId="2" fontId="6" numFmtId="0" xfId="0" applyFont="1"/>
    <xf borderId="0" fillId="2" fontId="6" numFmtId="0" xfId="0" applyAlignment="1" applyFont="1">
      <alignment vertical="bottom"/>
    </xf>
    <xf borderId="0" fillId="0" fontId="25" numFmtId="0" xfId="0" applyAlignment="1" applyFont="1">
      <alignment readingOrder="0"/>
    </xf>
    <xf borderId="1" fillId="2" fontId="26" numFmtId="164" xfId="0" applyAlignment="1" applyBorder="1" applyFont="1" applyNumberFormat="1">
      <alignment horizontal="center" readingOrder="0" vertical="center"/>
    </xf>
    <xf borderId="1" fillId="2" fontId="27" numFmtId="0" xfId="0" applyAlignment="1" applyBorder="1" applyFont="1">
      <alignment vertical="center"/>
    </xf>
    <xf borderId="17" fillId="0" fontId="17" numFmtId="0" xfId="0" applyAlignment="1" applyBorder="1" applyFont="1">
      <alignment readingOrder="0" vertical="center"/>
    </xf>
    <xf borderId="16" fillId="3" fontId="11" numFmtId="167" xfId="0" applyAlignment="1" applyBorder="1" applyFont="1" applyNumberFormat="1">
      <alignment horizontal="center" vertical="center"/>
    </xf>
    <xf borderId="0" fillId="2" fontId="8" numFmtId="0" xfId="0" applyFont="1"/>
    <xf borderId="16" fillId="3" fontId="11" numFmtId="167" xfId="0" applyAlignment="1" applyBorder="1" applyFont="1" applyNumberFormat="1">
      <alignment horizontal="center"/>
    </xf>
    <xf borderId="14" fillId="3" fontId="9" numFmtId="0" xfId="0" applyAlignment="1" applyBorder="1" applyFont="1">
      <alignment horizontal="center"/>
    </xf>
    <xf borderId="17" fillId="0" fontId="11" numFmtId="166" xfId="0" applyAlignment="1" applyBorder="1" applyFont="1" applyNumberFormat="1">
      <alignment horizontal="center" readingOrder="0" vertical="center"/>
    </xf>
    <xf borderId="16" fillId="3" fontId="11" numFmtId="167" xfId="0" applyAlignment="1" applyBorder="1" applyFont="1" applyNumberFormat="1">
      <alignment horizontal="center" vertical="bottom"/>
    </xf>
    <xf borderId="0" fillId="0" fontId="23" numFmtId="3" xfId="0" applyAlignment="1" applyFont="1" applyNumberFormat="1">
      <alignment horizontal="center" readingOrder="0" vertical="center"/>
    </xf>
    <xf borderId="0" fillId="4" fontId="23" numFmtId="3" xfId="0" applyAlignment="1" applyFont="1" applyNumberFormat="1">
      <alignment horizontal="center" readingOrder="0" vertical="center"/>
    </xf>
    <xf borderId="0" fillId="0" fontId="8" numFmtId="3" xfId="0" applyAlignment="1" applyFont="1" applyNumberFormat="1">
      <alignment horizontal="center" readingOrder="0" vertical="center"/>
    </xf>
    <xf borderId="17" fillId="0" fontId="28" numFmtId="166" xfId="0" applyAlignment="1" applyBorder="1" applyFont="1" applyNumberFormat="1">
      <alignment horizontal="center" readingOrder="0" vertical="center"/>
    </xf>
    <xf borderId="15" fillId="3" fontId="21" numFmtId="0" xfId="0" applyAlignment="1" applyBorder="1" applyFont="1">
      <alignment horizontal="center" vertical="center"/>
    </xf>
    <xf borderId="17" fillId="4" fontId="9" numFmtId="168" xfId="0" applyAlignment="1" applyBorder="1" applyFont="1" applyNumberFormat="1">
      <alignment horizontal="center" vertical="center"/>
    </xf>
    <xf borderId="17" fillId="0" fontId="9" numFmtId="168" xfId="0" applyAlignment="1" applyBorder="1" applyFont="1" applyNumberFormat="1">
      <alignment horizontal="center" readingOrder="0" vertical="center"/>
    </xf>
    <xf borderId="17" fillId="0" fontId="9" numFmtId="166" xfId="0" applyAlignment="1" applyBorder="1" applyFont="1" applyNumberFormat="1">
      <alignment vertical="center"/>
    </xf>
    <xf borderId="17" fillId="0" fontId="9" numFmtId="166" xfId="0" applyAlignment="1" applyBorder="1" applyFont="1" applyNumberFormat="1">
      <alignment readingOrder="0" vertical="center"/>
    </xf>
    <xf borderId="13" fillId="3" fontId="9" numFmtId="0" xfId="0" applyAlignment="1" applyBorder="1" applyFont="1">
      <alignment vertical="center"/>
    </xf>
    <xf borderId="13" fillId="3" fontId="9" numFmtId="0" xfId="0" applyAlignment="1" applyBorder="1" applyFont="1">
      <alignment horizontal="center" readingOrder="0" vertical="center"/>
    </xf>
    <xf borderId="13" fillId="3" fontId="11" numFmtId="0" xfId="0" applyAlignment="1" applyBorder="1" applyFont="1">
      <alignment horizontal="center" readingOrder="0" vertical="center"/>
    </xf>
    <xf borderId="14" fillId="3" fontId="9" numFmtId="0" xfId="0" applyAlignment="1" applyBorder="1" applyFont="1">
      <alignment horizontal="center" vertical="center"/>
    </xf>
    <xf borderId="17" fillId="0" fontId="21" numFmtId="166" xfId="0" applyAlignment="1" applyBorder="1" applyFont="1" applyNumberFormat="1">
      <alignment horizontal="center" readingOrder="0" vertical="center"/>
    </xf>
    <xf borderId="17" fillId="0" fontId="21" numFmtId="166" xfId="0" applyAlignment="1" applyBorder="1" applyFont="1" applyNumberFormat="1">
      <alignment horizontal="center" vertical="center"/>
    </xf>
    <xf borderId="17" fillId="3" fontId="11" numFmtId="167" xfId="0" applyAlignment="1" applyBorder="1" applyFont="1" applyNumberFormat="1">
      <alignment horizontal="center" readingOrder="0" vertical="center"/>
    </xf>
    <xf borderId="17" fillId="4" fontId="17" numFmtId="168" xfId="0" applyAlignment="1" applyBorder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29.63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22.0"/>
    <col customWidth="1" min="17" max="17" width="21.13"/>
    <col customWidth="1" min="18" max="18" width="19.13"/>
    <col customWidth="1" min="19" max="19" width="21.88"/>
    <col customWidth="1" min="20" max="20" width="39.13"/>
    <col customWidth="1" min="21" max="21" width="21.38"/>
  </cols>
  <sheetData>
    <row r="2" ht="27.0" customHeight="1">
      <c r="B2" s="1">
        <f>IFERROR(__xludf.DUMMYFUNCTION("IMPORTRANGE(""https://docs.google.com/spreadsheets/d/17TnzcKnlaqlAyM_3lnNpgK5CAOPbscCCRVH50X8UulY/edit?usp=sharing"",""JANUARI!B2"")"),46023.0)</f>
        <v>46023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IFERROR(__xludf.DUMMYFUNCTION("IMPORTRANGE(""https://docs.google.com/spreadsheets/d/17TnzcKnlaqlAyM_3lnNpgK5CAOPbscCCRVH50X8UulY/edit?usp=sharing"",""JANUARI!B6"")"),"TANGGAL : 1 - 3 JANUARI 2026")</f>
        <v>TANGGAL : 1 - 3 JANUARI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IFERROR(__xludf.DUMMYFUNCTION("IMPORTRANGE(""https://docs.google.com/spreadsheets/d/17TnzcKnlaqlAyM_3lnNpgK5CAOPbscCCRVH50X8UulY/edit?usp=sharing"",""JANUARI!B7:D26"")"),"DENI")</f>
        <v>DENI</v>
      </c>
      <c r="D9" s="27" t="str">
        <f>IFERROR(__xludf.DUMMYFUNCTION("""COMPUTED_VALUE"""),"KEPALA")</f>
        <v>KEPALA</v>
      </c>
      <c r="E9" s="28"/>
      <c r="F9" s="29">
        <f>IFERROR(__xludf.DUMMYFUNCTION("IMPORTRANGE(""https://docs.google.com/spreadsheets/d/17TnzcKnlaqlAyM_3lnNpgK5CAOPbscCCRVH50X8UulY/edit?usp=sharing"",""JANUARI!K7:K25"")"),3.0)</f>
        <v>3</v>
      </c>
      <c r="G9" s="30">
        <v>110000.0</v>
      </c>
      <c r="H9" s="31">
        <f t="shared" ref="H9:H30" si="1">F9*G9</f>
        <v>330000</v>
      </c>
      <c r="I9" s="31">
        <f t="shared" ref="I9:I30" si="2">F9*10000</f>
        <v>30000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360000</v>
      </c>
      <c r="P9" s="35"/>
      <c r="Q9" s="36"/>
      <c r="R9" s="37">
        <f t="shared" ref="R9:R30" si="6">SUM(P9:Q9)</f>
        <v>0</v>
      </c>
      <c r="S9" s="38">
        <f t="shared" ref="S9:S30" si="7">O9-R9</f>
        <v>360000</v>
      </c>
      <c r="T9" s="39" t="str">
        <f>IFERROR(__xludf.DUMMYFUNCTION("IMPORTRANGE(""https://docs.google.com/spreadsheets/d/17TnzcKnlaqlAyM_3lnNpgK5CAOPbscCCRVH50X8UulY/edit?usp=sharing"",""JANUARI!L7:L26"")"),"")</f>
        <v/>
      </c>
      <c r="U9" s="40">
        <f>IFERROR(__xludf.DUMMYFUNCTION("IMPORTRANGE(""https://docs.google.com/spreadsheets/d/17TnzcKnlaqlAyM_3lnNpgK5CAOPbscCCRVH50X8UulY/edit?usp=sharing"",""JANUARI!U7:U26"")"),0.0)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/>
      <c r="F10" s="29">
        <f>IFERROR(__xludf.DUMMYFUNCTION("""COMPUTED_VALUE"""),3.0)</f>
        <v>3</v>
      </c>
      <c r="G10" s="30">
        <v>70000.0</v>
      </c>
      <c r="H10" s="31">
        <f t="shared" si="1"/>
        <v>210000</v>
      </c>
      <c r="I10" s="31">
        <f t="shared" si="2"/>
        <v>30000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240000</v>
      </c>
      <c r="P10" s="36"/>
      <c r="Q10" s="36"/>
      <c r="R10" s="37">
        <f t="shared" si="6"/>
        <v>0</v>
      </c>
      <c r="S10" s="38">
        <f t="shared" si="7"/>
        <v>240000</v>
      </c>
      <c r="T10" s="3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 t="str">
        <f>IFERROR(__xludf.DUMMYFUNCTION("""COMPUTED_VALUE"""),"ANDRI")</f>
        <v>ANDRI</v>
      </c>
      <c r="D11" s="27" t="str">
        <f>IFERROR(__xludf.DUMMYFUNCTION("""COMPUTED_VALUE"""),"DESIGN BORDIR")</f>
        <v>DESIGN BORDIR</v>
      </c>
      <c r="E11" s="28"/>
      <c r="F11" s="29">
        <f>IFERROR(__xludf.DUMMYFUNCTION("""COMPUTED_VALUE"""),3.0)</f>
        <v>3</v>
      </c>
      <c r="G11" s="30">
        <v>70000.0</v>
      </c>
      <c r="H11" s="31">
        <f t="shared" si="1"/>
        <v>210000</v>
      </c>
      <c r="I11" s="31">
        <f t="shared" si="2"/>
        <v>30000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240000</v>
      </c>
      <c r="P11" s="35"/>
      <c r="Q11" s="36"/>
      <c r="R11" s="37">
        <f t="shared" si="6"/>
        <v>0</v>
      </c>
      <c r="S11" s="38">
        <f t="shared" si="7"/>
        <v>240000</v>
      </c>
      <c r="T11" s="3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IFERROR(__xludf.DUMMYFUNCTION("""COMPUTED_VALUE"""),"ADIT")</f>
        <v>ADIT</v>
      </c>
      <c r="D12" s="27" t="str">
        <f>IFERROR(__xludf.DUMMYFUNCTION("""COMPUTED_VALUE"""),"CREATOR")</f>
        <v>CREATOR</v>
      </c>
      <c r="E12" s="28"/>
      <c r="F12" s="29">
        <f>IFERROR(__xludf.DUMMYFUNCTION("""COMPUTED_VALUE"""),3.0)</f>
        <v>3</v>
      </c>
      <c r="G12" s="30">
        <v>50000.0</v>
      </c>
      <c r="H12" s="31">
        <f t="shared" si="1"/>
        <v>150000</v>
      </c>
      <c r="I12" s="31">
        <f t="shared" si="2"/>
        <v>30000</v>
      </c>
      <c r="J12" s="43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180000</v>
      </c>
      <c r="P12" s="36"/>
      <c r="Q12" s="36"/>
      <c r="R12" s="37">
        <f t="shared" si="6"/>
        <v>0</v>
      </c>
      <c r="S12" s="38">
        <f t="shared" si="7"/>
        <v>180000</v>
      </c>
      <c r="T12" s="39"/>
      <c r="U12" s="42">
        <f>IFERROR(__xludf.DUMMYFUNCTION("""COMPUTED_VALUE"""),0.0)</f>
        <v>0</v>
      </c>
      <c r="V12" s="24"/>
      <c r="W12" s="24"/>
    </row>
    <row r="13" ht="37.5" customHeight="1">
      <c r="A13" s="24"/>
      <c r="B13" s="25">
        <v>5.0</v>
      </c>
      <c r="C13" s="26" t="str">
        <f>IFERROR(__xludf.DUMMYFUNCTION("""COMPUTED_VALUE"""),"EPUL")</f>
        <v>EPUL</v>
      </c>
      <c r="D13" s="27" t="str">
        <f>IFERROR(__xludf.DUMMYFUNCTION("""COMPUTED_VALUE"""),"OP MESIN")</f>
        <v>OP MESIN</v>
      </c>
      <c r="E13" s="28"/>
      <c r="F13" s="29">
        <f>IFERROR(__xludf.DUMMYFUNCTION("""COMPUTED_VALUE"""),3.0)</f>
        <v>3</v>
      </c>
      <c r="G13" s="30">
        <v>70000.0</v>
      </c>
      <c r="H13" s="31">
        <f t="shared" si="1"/>
        <v>210000</v>
      </c>
      <c r="I13" s="31">
        <f t="shared" si="2"/>
        <v>30000</v>
      </c>
      <c r="J13" s="43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240000</v>
      </c>
      <c r="P13" s="36"/>
      <c r="Q13" s="36"/>
      <c r="R13" s="37">
        <f t="shared" si="6"/>
        <v>0</v>
      </c>
      <c r="S13" s="38">
        <f t="shared" si="7"/>
        <v>240000</v>
      </c>
      <c r="T13" s="39"/>
      <c r="U13" s="42">
        <f>IFERROR(__xludf.DUMMYFUNCTION("""COMPUTED_VALUE"""),0.0)</f>
        <v>0</v>
      </c>
      <c r="V13" s="24"/>
      <c r="W13" s="24"/>
    </row>
    <row r="14" ht="37.5" customHeight="1">
      <c r="A14" s="24"/>
      <c r="B14" s="25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/>
      <c r="F14" s="29">
        <f>IFERROR(__xludf.DUMMYFUNCTION("""COMPUTED_VALUE"""),3.0)</f>
        <v>3</v>
      </c>
      <c r="G14" s="30">
        <v>70000.0</v>
      </c>
      <c r="H14" s="31">
        <f t="shared" si="1"/>
        <v>210000</v>
      </c>
      <c r="I14" s="31">
        <f t="shared" si="2"/>
        <v>30000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240000</v>
      </c>
      <c r="P14" s="36"/>
      <c r="Q14" s="36"/>
      <c r="R14" s="37">
        <f t="shared" si="6"/>
        <v>0</v>
      </c>
      <c r="S14" s="38">
        <f t="shared" si="7"/>
        <v>240000</v>
      </c>
      <c r="T14" s="39"/>
      <c r="U14" s="42">
        <f>IFERROR(__xludf.DUMMYFUNCTION("""COMPUTED_VALUE"""),0.0)</f>
        <v>0</v>
      </c>
      <c r="V14" s="24"/>
      <c r="W14" s="24"/>
    </row>
    <row r="15" ht="37.5" customHeight="1">
      <c r="A15" s="24"/>
      <c r="B15" s="25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/>
      <c r="F15" s="29">
        <f>IFERROR(__xludf.DUMMYFUNCTION("""COMPUTED_VALUE"""),3.0)</f>
        <v>3</v>
      </c>
      <c r="G15" s="30">
        <v>70000.0</v>
      </c>
      <c r="H15" s="31">
        <f t="shared" si="1"/>
        <v>210000</v>
      </c>
      <c r="I15" s="31">
        <f t="shared" si="2"/>
        <v>30000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240000</v>
      </c>
      <c r="P15" s="36"/>
      <c r="Q15" s="36"/>
      <c r="R15" s="37">
        <f t="shared" si="6"/>
        <v>0</v>
      </c>
      <c r="S15" s="38">
        <f t="shared" si="7"/>
        <v>240000</v>
      </c>
      <c r="T15" s="39"/>
      <c r="U15" s="42">
        <f>IFERROR(__xludf.DUMMYFUNCTION("""COMPUTED_VALUE"""),0.0)</f>
        <v>0</v>
      </c>
      <c r="V15" s="24"/>
      <c r="W15" s="24"/>
    </row>
    <row r="16" ht="37.5" customHeight="1">
      <c r="A16" s="24"/>
      <c r="B16" s="25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/>
      <c r="F16" s="29">
        <f>IFERROR(__xludf.DUMMYFUNCTION("""COMPUTED_VALUE"""),3.0)</f>
        <v>3</v>
      </c>
      <c r="G16" s="30">
        <v>50000.0</v>
      </c>
      <c r="H16" s="31">
        <f t="shared" si="1"/>
        <v>150000</v>
      </c>
      <c r="I16" s="31">
        <f t="shared" si="2"/>
        <v>30000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180000</v>
      </c>
      <c r="P16" s="44"/>
      <c r="Q16" s="44"/>
      <c r="R16" s="37">
        <f t="shared" si="6"/>
        <v>0</v>
      </c>
      <c r="S16" s="38">
        <f t="shared" si="7"/>
        <v>180000</v>
      </c>
      <c r="T16" s="39"/>
      <c r="U16" s="42">
        <f>IFERROR(__xludf.DUMMYFUNCTION("""COMPUTED_VALUE"""),0.0)</f>
        <v>0</v>
      </c>
      <c r="V16" s="24"/>
      <c r="W16" s="24"/>
    </row>
    <row r="17" ht="37.5" customHeight="1">
      <c r="A17" s="24"/>
      <c r="B17" s="25">
        <v>9.0</v>
      </c>
      <c r="C17" s="26" t="str">
        <f>IFERROR(__xludf.DUMMYFUNCTION("""COMPUTED_VALUE"""),"IIS")</f>
        <v>IIS</v>
      </c>
      <c r="D17" s="27" t="str">
        <f>IFERROR(__xludf.DUMMYFUNCTION("""COMPUTED_VALUE"""),"PACKING")</f>
        <v>PACKING</v>
      </c>
      <c r="E17" s="28"/>
      <c r="F17" s="29">
        <f>IFERROR(__xludf.DUMMYFUNCTION("""COMPUTED_VALUE"""),2.0)</f>
        <v>2</v>
      </c>
      <c r="G17" s="30">
        <v>70000.0</v>
      </c>
      <c r="H17" s="31">
        <f t="shared" si="1"/>
        <v>140000</v>
      </c>
      <c r="I17" s="31">
        <f t="shared" si="2"/>
        <v>20000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160000</v>
      </c>
      <c r="P17" s="44"/>
      <c r="Q17" s="44"/>
      <c r="R17" s="37">
        <f t="shared" si="6"/>
        <v>0</v>
      </c>
      <c r="S17" s="38">
        <f t="shared" si="7"/>
        <v>160000</v>
      </c>
      <c r="T17" s="39"/>
      <c r="U17" s="42">
        <f>IFERROR(__xludf.DUMMYFUNCTION("""COMPUTED_VALUE"""),0.0)</f>
        <v>0</v>
      </c>
      <c r="V17" s="24"/>
      <c r="W17" s="24"/>
    </row>
    <row r="18" ht="37.5" customHeight="1">
      <c r="A18" s="24"/>
      <c r="B18" s="25">
        <v>10.0</v>
      </c>
      <c r="C18" s="26"/>
      <c r="D18" s="27"/>
      <c r="E18" s="28"/>
      <c r="F18" s="29">
        <f>IFERROR(__xludf.DUMMYFUNCTION("""COMPUTED_VALUE"""),0.0)</f>
        <v>0</v>
      </c>
      <c r="G18" s="45"/>
      <c r="H18" s="31">
        <f t="shared" si="1"/>
        <v>0</v>
      </c>
      <c r="I18" s="31">
        <f t="shared" si="2"/>
        <v>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0</v>
      </c>
      <c r="P18" s="44"/>
      <c r="Q18" s="44"/>
      <c r="R18" s="37">
        <f t="shared" si="6"/>
        <v>0</v>
      </c>
      <c r="S18" s="38">
        <f t="shared" si="7"/>
        <v>0</v>
      </c>
      <c r="T18" s="39"/>
      <c r="U18" s="42">
        <f>IFERROR(__xludf.DUMMYFUNCTION("""COMPUTED_VALUE"""),0.0)</f>
        <v>0</v>
      </c>
      <c r="V18" s="24"/>
      <c r="W18" s="24"/>
    </row>
    <row r="19" ht="37.5" customHeight="1">
      <c r="A19" s="24"/>
      <c r="B19" s="25">
        <v>11.0</v>
      </c>
      <c r="C19" s="46"/>
      <c r="D19" s="47"/>
      <c r="E19" s="48"/>
      <c r="F19" s="29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44"/>
      <c r="Q19" s="44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24"/>
      <c r="W19" s="24"/>
    </row>
    <row r="20" ht="37.5" customHeight="1">
      <c r="A20" s="24"/>
      <c r="B20" s="25">
        <v>12.0</v>
      </c>
      <c r="C20" s="46"/>
      <c r="D20" s="47"/>
      <c r="E20" s="48"/>
      <c r="F20" s="29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44"/>
      <c r="Q20" s="44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24"/>
      <c r="W20" s="24"/>
    </row>
    <row r="21" ht="37.5" customHeight="1">
      <c r="A21" s="24"/>
      <c r="B21" s="25">
        <v>13.0</v>
      </c>
      <c r="C21" s="26"/>
      <c r="D21" s="27"/>
      <c r="E21" s="28"/>
      <c r="F21" s="29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 t="str">
        <f t="shared" ref="J21:J22" si="8">IF(E21="SHIFT 2",I21,"")</f>
        <v/>
      </c>
      <c r="K21" s="32"/>
      <c r="L21" s="33">
        <f t="shared" si="4"/>
        <v>0</v>
      </c>
      <c r="M21" s="32"/>
      <c r="N21" s="32"/>
      <c r="O21" s="34">
        <f t="shared" si="5"/>
        <v>0</v>
      </c>
      <c r="P21" s="44"/>
      <c r="Q21" s="44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24"/>
      <c r="W21" s="24"/>
    </row>
    <row r="22" ht="37.5" customHeight="1">
      <c r="A22" s="24"/>
      <c r="B22" s="25">
        <v>14.0</v>
      </c>
      <c r="C22" s="46"/>
      <c r="D22" s="47"/>
      <c r="E22" s="48"/>
      <c r="F22" s="29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 t="shared" si="8"/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44"/>
      <c r="Q22" s="44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24"/>
      <c r="W22" s="24"/>
    </row>
    <row r="23" ht="37.5" customHeight="1">
      <c r="A23" s="24"/>
      <c r="B23" s="25">
        <v>15.0</v>
      </c>
      <c r="C23" s="46"/>
      <c r="D23" s="47"/>
      <c r="E23" s="48"/>
      <c r="F23" s="29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24"/>
      <c r="W23" s="24"/>
    </row>
    <row r="24" ht="37.5" customHeight="1">
      <c r="A24" s="24"/>
      <c r="B24" s="25">
        <v>16.0</v>
      </c>
      <c r="C24" s="46"/>
      <c r="D24" s="47"/>
      <c r="E24" s="48"/>
      <c r="F24" s="29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24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9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24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9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24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9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9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9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9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A31" s="24"/>
      <c r="B31" s="54"/>
      <c r="F31" s="55" t="s">
        <v>21</v>
      </c>
      <c r="S31" s="56">
        <f>SUM(S9:S30)</f>
        <v>2080000</v>
      </c>
      <c r="T31" s="57"/>
      <c r="U31" s="58"/>
      <c r="V31" s="24"/>
      <c r="W31" s="24"/>
    </row>
    <row r="32" ht="37.5" customHeight="1"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ht="37.5" customHeight="1">
      <c r="B33" s="21" t="str">
        <f>IFERROR(__xludf.DUMMYFUNCTION("IMPORTRANGE(""https://docs.google.com/spreadsheets/d/17TnzcKnlaqlAyM_3lnNpgK5CAOPbscCCRVH50X8UulY/edit?usp=sharing"",""JANUARI!B28"")"),"TANGGAL : 5-10 JANUARI 2026")</f>
        <v>TANGGAL : 5-10 JANUARI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IFERROR(__xludf.DUMMYFUNCTION("IMPORTRANGE(""https://docs.google.com/spreadsheets/d/17TnzcKnlaqlAyM_3lnNpgK5CAOPbscCCRVH50X8UulY/edit?usp=sharing"",""JANUARI!B29:D48"")"),"DENI")</f>
        <v>DENI</v>
      </c>
      <c r="D34" s="27" t="str">
        <f>IFERROR(__xludf.DUMMYFUNCTION("""COMPUTED_VALUE"""),"KEPALA")</f>
        <v>KEPALA</v>
      </c>
      <c r="E34" s="28"/>
      <c r="F34" s="42">
        <f>IFERROR(__xludf.DUMMYFUNCTION("IMPORTRANGE(""https://docs.google.com/spreadsheets/d/17TnzcKnlaqlAyM_3lnNpgK5CAOPbscCCRVH50X8UulY/edit?usp=sharing"",""JANUARI!K29:K47"")"),6.0)</f>
        <v>6</v>
      </c>
      <c r="G34" s="30">
        <v>110000.0</v>
      </c>
      <c r="H34" s="31">
        <f t="shared" ref="H34:H55" si="10">F34*G34</f>
        <v>660000</v>
      </c>
      <c r="I34" s="31">
        <f t="shared" ref="I34:I55" si="11">F34*10000</f>
        <v>60000</v>
      </c>
      <c r="J34" s="61" t="str">
        <f t="shared" ref="J34:J55" si="12">IF(E34="SHIFT 2",I34,"")</f>
        <v/>
      </c>
      <c r="K34" s="32"/>
      <c r="L34" s="33">
        <f t="shared" ref="L34:L55" si="13">U34*$L$33</f>
        <v>0</v>
      </c>
      <c r="M34" s="32"/>
      <c r="N34" s="32"/>
      <c r="O34" s="34">
        <f t="shared" ref="O34:O55" si="14">SUM(H34:N34)</f>
        <v>720000</v>
      </c>
      <c r="P34" s="36"/>
      <c r="Q34" s="36"/>
      <c r="R34" s="37">
        <f t="shared" ref="R34:R55" si="15">SUM(P34:Q34)</f>
        <v>0</v>
      </c>
      <c r="S34" s="38">
        <f t="shared" ref="S34:S55" si="16">O34-R34</f>
        <v>720000</v>
      </c>
      <c r="T34" s="39" t="str">
        <f>IFERROR(__xludf.DUMMYFUNCTION("IMPORTRANGE(""https://docs.google.com/spreadsheets/d/17TnzcKnlaqlAyM_3lnNpgK5CAOPbscCCRVH50X8UulY/edit?usp=sharing"",""JANUARI!L29:L48"")"),"")</f>
        <v/>
      </c>
      <c r="U34" s="42">
        <f>IFERROR(__xludf.DUMMYFUNCTION("IMPORTRANGE(""https://docs.google.com/spreadsheets/d/17TnzcKnlaqlAyM_3lnNpgK5CAOPbscCCRVH50X8UulY/edit?usp=sharing"",""JANUARI!U29:U48"")"),0.0)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/>
      <c r="F35" s="42">
        <f>IFERROR(__xludf.DUMMYFUNCTION("""COMPUTED_VALUE"""),6.0)</f>
        <v>6</v>
      </c>
      <c r="G35" s="30">
        <v>70000.0</v>
      </c>
      <c r="H35" s="31">
        <f t="shared" si="10"/>
        <v>420000</v>
      </c>
      <c r="I35" s="31">
        <f t="shared" si="11"/>
        <v>60000</v>
      </c>
      <c r="J35" s="61" t="str">
        <f t="shared" si="12"/>
        <v/>
      </c>
      <c r="K35" s="41"/>
      <c r="L35" s="33">
        <f t="shared" si="13"/>
        <v>0</v>
      </c>
      <c r="M35" s="41"/>
      <c r="N35" s="41"/>
      <c r="O35" s="34">
        <f t="shared" si="14"/>
        <v>480000</v>
      </c>
      <c r="P35" s="36"/>
      <c r="Q35" s="36"/>
      <c r="R35" s="37">
        <f t="shared" si="15"/>
        <v>0</v>
      </c>
      <c r="S35" s="38">
        <f t="shared" si="16"/>
        <v>480000</v>
      </c>
      <c r="T35" s="39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 t="str">
        <f>IFERROR(__xludf.DUMMYFUNCTION("""COMPUTED_VALUE"""),"ANDRI")</f>
        <v>ANDRI</v>
      </c>
      <c r="D36" s="27" t="str">
        <f>IFERROR(__xludf.DUMMYFUNCTION("""COMPUTED_VALUE"""),"DESIGN BORDIR")</f>
        <v>DESIGN BORDIR</v>
      </c>
      <c r="E36" s="28"/>
      <c r="F36" s="42">
        <f>IFERROR(__xludf.DUMMYFUNCTION("""COMPUTED_VALUE"""),6.0)</f>
        <v>6</v>
      </c>
      <c r="G36" s="30">
        <v>70000.0</v>
      </c>
      <c r="H36" s="31">
        <f t="shared" si="10"/>
        <v>420000</v>
      </c>
      <c r="I36" s="31">
        <f t="shared" si="11"/>
        <v>60000</v>
      </c>
      <c r="J36" s="61" t="str">
        <f t="shared" si="12"/>
        <v/>
      </c>
      <c r="K36" s="41"/>
      <c r="L36" s="33">
        <f t="shared" si="13"/>
        <v>0</v>
      </c>
      <c r="M36" s="41"/>
      <c r="N36" s="41"/>
      <c r="O36" s="34">
        <f t="shared" si="14"/>
        <v>480000</v>
      </c>
      <c r="P36" s="36"/>
      <c r="Q36" s="36"/>
      <c r="R36" s="37">
        <f t="shared" si="15"/>
        <v>0</v>
      </c>
      <c r="S36" s="38">
        <f t="shared" si="16"/>
        <v>480000</v>
      </c>
      <c r="T36" s="39"/>
      <c r="U36" s="42">
        <f>IFERROR(__xludf.DUMMYFUNCTION("""COMPUTED_VALUE"""),0.0)</f>
        <v>0</v>
      </c>
      <c r="V36" s="24"/>
      <c r="W36" s="24"/>
    </row>
    <row r="37" ht="37.5" customHeight="1">
      <c r="A37" s="24"/>
      <c r="B37" s="25">
        <v>4.0</v>
      </c>
      <c r="C37" s="26" t="str">
        <f>IFERROR(__xludf.DUMMYFUNCTION("""COMPUTED_VALUE"""),"ADIT")</f>
        <v>ADIT</v>
      </c>
      <c r="D37" s="27" t="str">
        <f>IFERROR(__xludf.DUMMYFUNCTION("""COMPUTED_VALUE"""),"CREATOR")</f>
        <v>CREATOR</v>
      </c>
      <c r="E37" s="28"/>
      <c r="F37" s="42">
        <f>IFERROR(__xludf.DUMMYFUNCTION("""COMPUTED_VALUE"""),6.0)</f>
        <v>6</v>
      </c>
      <c r="G37" s="30">
        <v>50000.0</v>
      </c>
      <c r="H37" s="31">
        <f t="shared" si="10"/>
        <v>300000</v>
      </c>
      <c r="I37" s="31">
        <f t="shared" si="11"/>
        <v>60000</v>
      </c>
      <c r="J37" s="61" t="str">
        <f t="shared" si="12"/>
        <v/>
      </c>
      <c r="K37" s="32"/>
      <c r="L37" s="33">
        <f t="shared" si="13"/>
        <v>0</v>
      </c>
      <c r="M37" s="32"/>
      <c r="N37" s="32"/>
      <c r="O37" s="34">
        <f t="shared" si="14"/>
        <v>360000</v>
      </c>
      <c r="P37" s="36"/>
      <c r="Q37" s="36"/>
      <c r="R37" s="37">
        <f t="shared" si="15"/>
        <v>0</v>
      </c>
      <c r="S37" s="38">
        <f t="shared" si="16"/>
        <v>360000</v>
      </c>
      <c r="T37" s="39"/>
      <c r="U37" s="42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6" t="str">
        <f>IFERROR(__xludf.DUMMYFUNCTION("""COMPUTED_VALUE"""),"EPUL")</f>
        <v>EPUL</v>
      </c>
      <c r="D38" s="27" t="str">
        <f>IFERROR(__xludf.DUMMYFUNCTION("""COMPUTED_VALUE"""),"OP MESIN")</f>
        <v>OP MESIN</v>
      </c>
      <c r="E38" s="28"/>
      <c r="F38" s="42">
        <f>IFERROR(__xludf.DUMMYFUNCTION("""COMPUTED_VALUE"""),6.0)</f>
        <v>6</v>
      </c>
      <c r="G38" s="30">
        <v>70000.0</v>
      </c>
      <c r="H38" s="31">
        <f t="shared" si="10"/>
        <v>420000</v>
      </c>
      <c r="I38" s="31">
        <f t="shared" si="11"/>
        <v>60000</v>
      </c>
      <c r="J38" s="61" t="str">
        <f t="shared" si="12"/>
        <v/>
      </c>
      <c r="K38" s="32"/>
      <c r="L38" s="33">
        <f t="shared" si="13"/>
        <v>0</v>
      </c>
      <c r="M38" s="32"/>
      <c r="N38" s="32"/>
      <c r="O38" s="34">
        <f t="shared" si="14"/>
        <v>480000</v>
      </c>
      <c r="P38" s="36"/>
      <c r="Q38" s="36"/>
      <c r="R38" s="37">
        <f t="shared" si="15"/>
        <v>0</v>
      </c>
      <c r="S38" s="38">
        <f t="shared" si="16"/>
        <v>480000</v>
      </c>
      <c r="T38" s="39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/>
      <c r="F39" s="52">
        <f>IFERROR(__xludf.DUMMYFUNCTION("""COMPUTED_VALUE"""),6.0)</f>
        <v>6</v>
      </c>
      <c r="G39" s="30">
        <v>70000.0</v>
      </c>
      <c r="H39" s="31">
        <f t="shared" si="10"/>
        <v>420000</v>
      </c>
      <c r="I39" s="31">
        <f t="shared" si="11"/>
        <v>60000</v>
      </c>
      <c r="J39" s="32" t="str">
        <f t="shared" si="12"/>
        <v/>
      </c>
      <c r="K39" s="32"/>
      <c r="L39" s="33">
        <f t="shared" si="13"/>
        <v>0</v>
      </c>
      <c r="M39" s="32"/>
      <c r="N39" s="32"/>
      <c r="O39" s="34">
        <f t="shared" si="14"/>
        <v>480000</v>
      </c>
      <c r="P39" s="36"/>
      <c r="Q39" s="36"/>
      <c r="R39" s="37">
        <f t="shared" si="15"/>
        <v>0</v>
      </c>
      <c r="S39" s="38">
        <f t="shared" si="16"/>
        <v>480000</v>
      </c>
      <c r="T39" s="39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/>
      <c r="F40" s="52">
        <f>IFERROR(__xludf.DUMMYFUNCTION("""COMPUTED_VALUE"""),6.0)</f>
        <v>6</v>
      </c>
      <c r="G40" s="30">
        <v>70000.0</v>
      </c>
      <c r="H40" s="31">
        <f t="shared" si="10"/>
        <v>420000</v>
      </c>
      <c r="I40" s="31">
        <f t="shared" si="11"/>
        <v>60000</v>
      </c>
      <c r="J40" s="32" t="str">
        <f t="shared" si="12"/>
        <v/>
      </c>
      <c r="K40" s="32"/>
      <c r="L40" s="33">
        <f t="shared" si="13"/>
        <v>0</v>
      </c>
      <c r="M40" s="32"/>
      <c r="N40" s="32"/>
      <c r="O40" s="34">
        <f t="shared" si="14"/>
        <v>480000</v>
      </c>
      <c r="P40" s="36"/>
      <c r="Q40" s="36"/>
      <c r="R40" s="37">
        <f t="shared" si="15"/>
        <v>0</v>
      </c>
      <c r="S40" s="38">
        <f t="shared" si="16"/>
        <v>480000</v>
      </c>
      <c r="T40" s="39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/>
      <c r="F41" s="52">
        <f>IFERROR(__xludf.DUMMYFUNCTION("""COMPUTED_VALUE"""),6.0)</f>
        <v>6</v>
      </c>
      <c r="G41" s="30">
        <v>50000.0</v>
      </c>
      <c r="H41" s="31">
        <f t="shared" si="10"/>
        <v>300000</v>
      </c>
      <c r="I41" s="31">
        <f t="shared" si="11"/>
        <v>60000</v>
      </c>
      <c r="J41" s="32" t="str">
        <f t="shared" si="12"/>
        <v/>
      </c>
      <c r="K41" s="32"/>
      <c r="L41" s="33">
        <f t="shared" si="13"/>
        <v>0</v>
      </c>
      <c r="M41" s="32"/>
      <c r="N41" s="32"/>
      <c r="O41" s="34">
        <f t="shared" si="14"/>
        <v>360000</v>
      </c>
      <c r="P41" s="36"/>
      <c r="Q41" s="36"/>
      <c r="R41" s="37">
        <f t="shared" si="15"/>
        <v>0</v>
      </c>
      <c r="S41" s="38">
        <f t="shared" si="16"/>
        <v>360000</v>
      </c>
      <c r="T41" s="39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IFERROR(__xludf.DUMMYFUNCTION("""COMPUTED_VALUE"""),"IIS")</f>
        <v>IIS</v>
      </c>
      <c r="D42" s="27" t="str">
        <f>IFERROR(__xludf.DUMMYFUNCTION("""COMPUTED_VALUE"""),"PACKING")</f>
        <v>PACKING</v>
      </c>
      <c r="E42" s="28"/>
      <c r="F42" s="52">
        <f>IFERROR(__xludf.DUMMYFUNCTION("""COMPUTED_VALUE"""),6.0)</f>
        <v>6</v>
      </c>
      <c r="G42" s="30">
        <v>70000.0</v>
      </c>
      <c r="H42" s="31">
        <f t="shared" si="10"/>
        <v>420000</v>
      </c>
      <c r="I42" s="31">
        <f t="shared" si="11"/>
        <v>60000</v>
      </c>
      <c r="J42" s="32" t="str">
        <f t="shared" si="12"/>
        <v/>
      </c>
      <c r="K42" s="32"/>
      <c r="L42" s="33">
        <f t="shared" si="13"/>
        <v>0</v>
      </c>
      <c r="M42" s="32"/>
      <c r="N42" s="32"/>
      <c r="O42" s="34">
        <f t="shared" si="14"/>
        <v>480000</v>
      </c>
      <c r="P42" s="36"/>
      <c r="Q42" s="36"/>
      <c r="R42" s="37">
        <f t="shared" si="15"/>
        <v>0</v>
      </c>
      <c r="S42" s="38">
        <f t="shared" si="16"/>
        <v>480000</v>
      </c>
      <c r="T42" s="39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49"/>
      <c r="D43" s="50"/>
      <c r="E43" s="51"/>
      <c r="F43" s="52">
        <f>IFERROR(__xludf.DUMMYFUNCTION("""COMPUTED_VALUE"""),0.0)</f>
        <v>0</v>
      </c>
      <c r="G43" s="45"/>
      <c r="H43" s="31">
        <f t="shared" si="10"/>
        <v>0</v>
      </c>
      <c r="I43" s="31">
        <f t="shared" si="11"/>
        <v>0</v>
      </c>
      <c r="J43" s="32" t="str">
        <f t="shared" si="12"/>
        <v/>
      </c>
      <c r="K43" s="32"/>
      <c r="L43" s="33">
        <f t="shared" si="13"/>
        <v>0</v>
      </c>
      <c r="M43" s="32"/>
      <c r="N43" s="32"/>
      <c r="O43" s="34">
        <f t="shared" si="14"/>
        <v>0</v>
      </c>
      <c r="P43" s="62"/>
      <c r="Q43" s="62"/>
      <c r="R43" s="37">
        <f t="shared" si="15"/>
        <v>0</v>
      </c>
      <c r="S43" s="38">
        <f t="shared" si="16"/>
        <v>0</v>
      </c>
      <c r="T43" s="39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10"/>
        <v>0</v>
      </c>
      <c r="I44" s="31">
        <f t="shared" si="11"/>
        <v>0</v>
      </c>
      <c r="J44" s="32" t="str">
        <f t="shared" si="12"/>
        <v/>
      </c>
      <c r="K44" s="32"/>
      <c r="L44" s="33">
        <f t="shared" si="13"/>
        <v>0</v>
      </c>
      <c r="M44" s="32"/>
      <c r="N44" s="32"/>
      <c r="O44" s="34">
        <f t="shared" si="14"/>
        <v>0</v>
      </c>
      <c r="P44" s="44"/>
      <c r="Q44" s="44"/>
      <c r="R44" s="37">
        <f t="shared" si="15"/>
        <v>0</v>
      </c>
      <c r="S44" s="38">
        <f t="shared" si="16"/>
        <v>0</v>
      </c>
      <c r="T44" s="39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49"/>
      <c r="D45" s="50"/>
      <c r="E45" s="51"/>
      <c r="F45" s="52">
        <f>IFERROR(__xludf.DUMMYFUNCTION("""COMPUTED_VALUE"""),0.0)</f>
        <v>0</v>
      </c>
      <c r="G45" s="45"/>
      <c r="H45" s="31">
        <f t="shared" si="10"/>
        <v>0</v>
      </c>
      <c r="I45" s="31">
        <f t="shared" si="11"/>
        <v>0</v>
      </c>
      <c r="J45" s="32" t="str">
        <f t="shared" si="12"/>
        <v/>
      </c>
      <c r="K45" s="32"/>
      <c r="L45" s="33">
        <f t="shared" si="13"/>
        <v>0</v>
      </c>
      <c r="M45" s="32"/>
      <c r="N45" s="32"/>
      <c r="O45" s="34">
        <f t="shared" si="14"/>
        <v>0</v>
      </c>
      <c r="P45" s="44"/>
      <c r="Q45" s="44"/>
      <c r="R45" s="37">
        <f t="shared" si="15"/>
        <v>0</v>
      </c>
      <c r="S45" s="38">
        <f t="shared" si="16"/>
        <v>0</v>
      </c>
      <c r="T45" s="39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10"/>
        <v>0</v>
      </c>
      <c r="I46" s="31">
        <f t="shared" si="11"/>
        <v>0</v>
      </c>
      <c r="J46" s="32" t="str">
        <f t="shared" si="12"/>
        <v/>
      </c>
      <c r="K46" s="32"/>
      <c r="L46" s="33">
        <f t="shared" si="13"/>
        <v>0</v>
      </c>
      <c r="M46" s="32"/>
      <c r="N46" s="32"/>
      <c r="O46" s="34">
        <f t="shared" si="14"/>
        <v>0</v>
      </c>
      <c r="P46" s="62"/>
      <c r="Q46" s="62"/>
      <c r="R46" s="37">
        <f t="shared" si="15"/>
        <v>0</v>
      </c>
      <c r="S46" s="38">
        <f t="shared" si="16"/>
        <v>0</v>
      </c>
      <c r="T46" s="39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10"/>
        <v>0</v>
      </c>
      <c r="I47" s="31">
        <f t="shared" si="11"/>
        <v>0</v>
      </c>
      <c r="J47" s="32" t="str">
        <f t="shared" si="12"/>
        <v/>
      </c>
      <c r="K47" s="32"/>
      <c r="L47" s="33">
        <f t="shared" si="13"/>
        <v>0</v>
      </c>
      <c r="M47" s="32"/>
      <c r="N47" s="32"/>
      <c r="O47" s="34">
        <f t="shared" si="14"/>
        <v>0</v>
      </c>
      <c r="P47" s="44"/>
      <c r="Q47" s="44"/>
      <c r="R47" s="37">
        <f t="shared" si="15"/>
        <v>0</v>
      </c>
      <c r="S47" s="38">
        <f t="shared" si="16"/>
        <v>0</v>
      </c>
      <c r="T47" s="39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10"/>
        <v>0</v>
      </c>
      <c r="I48" s="31">
        <f t="shared" si="11"/>
        <v>0</v>
      </c>
      <c r="J48" s="32" t="str">
        <f t="shared" si="12"/>
        <v/>
      </c>
      <c r="K48" s="32"/>
      <c r="L48" s="33">
        <f t="shared" si="13"/>
        <v>0</v>
      </c>
      <c r="M48" s="32"/>
      <c r="N48" s="32"/>
      <c r="O48" s="34">
        <f t="shared" si="14"/>
        <v>0</v>
      </c>
      <c r="P48" s="44"/>
      <c r="Q48" s="44"/>
      <c r="R48" s="37">
        <f t="shared" si="15"/>
        <v>0</v>
      </c>
      <c r="S48" s="38">
        <f t="shared" si="16"/>
        <v>0</v>
      </c>
      <c r="T48" s="39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10"/>
        <v>0</v>
      </c>
      <c r="I49" s="31">
        <f t="shared" si="11"/>
        <v>0</v>
      </c>
      <c r="J49" s="32" t="str">
        <f t="shared" si="12"/>
        <v/>
      </c>
      <c r="K49" s="32"/>
      <c r="L49" s="33">
        <f t="shared" si="13"/>
        <v>0</v>
      </c>
      <c r="M49" s="32"/>
      <c r="N49" s="32"/>
      <c r="O49" s="34">
        <f t="shared" si="14"/>
        <v>0</v>
      </c>
      <c r="P49" s="44"/>
      <c r="Q49" s="44"/>
      <c r="R49" s="37">
        <f t="shared" si="15"/>
        <v>0</v>
      </c>
      <c r="S49" s="38">
        <f t="shared" si="16"/>
        <v>0</v>
      </c>
      <c r="T49" s="39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10"/>
        <v>0</v>
      </c>
      <c r="I50" s="31">
        <f t="shared" si="11"/>
        <v>0</v>
      </c>
      <c r="J50" s="32" t="str">
        <f t="shared" si="12"/>
        <v/>
      </c>
      <c r="K50" s="32"/>
      <c r="L50" s="33">
        <f t="shared" si="13"/>
        <v>0</v>
      </c>
      <c r="M50" s="32"/>
      <c r="N50" s="32"/>
      <c r="O50" s="34">
        <f t="shared" si="14"/>
        <v>0</v>
      </c>
      <c r="P50" s="44"/>
      <c r="Q50" s="44"/>
      <c r="R50" s="37">
        <f t="shared" si="15"/>
        <v>0</v>
      </c>
      <c r="S50" s="38">
        <f t="shared" si="16"/>
        <v>0</v>
      </c>
      <c r="T50" s="39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10"/>
        <v>0</v>
      </c>
      <c r="I51" s="31">
        <f t="shared" si="11"/>
        <v>0</v>
      </c>
      <c r="J51" s="32" t="str">
        <f t="shared" si="12"/>
        <v/>
      </c>
      <c r="K51" s="32"/>
      <c r="L51" s="33">
        <f t="shared" si="13"/>
        <v>0</v>
      </c>
      <c r="M51" s="32"/>
      <c r="N51" s="32"/>
      <c r="O51" s="34">
        <f t="shared" si="14"/>
        <v>0</v>
      </c>
      <c r="P51" s="44"/>
      <c r="Q51" s="44"/>
      <c r="R51" s="37">
        <f t="shared" si="15"/>
        <v>0</v>
      </c>
      <c r="S51" s="38">
        <f t="shared" si="16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10"/>
        <v>0</v>
      </c>
      <c r="I52" s="31">
        <f t="shared" si="11"/>
        <v>0</v>
      </c>
      <c r="J52" s="32" t="str">
        <f t="shared" si="12"/>
        <v/>
      </c>
      <c r="K52" s="32"/>
      <c r="L52" s="33">
        <f t="shared" si="13"/>
        <v>0</v>
      </c>
      <c r="M52" s="32"/>
      <c r="N52" s="32"/>
      <c r="O52" s="34">
        <f t="shared" si="14"/>
        <v>0</v>
      </c>
      <c r="P52" s="44"/>
      <c r="Q52" s="44"/>
      <c r="R52" s="37">
        <f t="shared" si="15"/>
        <v>0</v>
      </c>
      <c r="S52" s="38">
        <f t="shared" si="16"/>
        <v>0</v>
      </c>
      <c r="T52" s="51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10"/>
        <v>0</v>
      </c>
      <c r="I53" s="31">
        <f t="shared" si="11"/>
        <v>0</v>
      </c>
      <c r="J53" s="32" t="str">
        <f t="shared" si="12"/>
        <v/>
      </c>
      <c r="K53" s="32"/>
      <c r="L53" s="33">
        <f t="shared" si="13"/>
        <v>0</v>
      </c>
      <c r="M53" s="32"/>
      <c r="N53" s="32"/>
      <c r="O53" s="34">
        <f t="shared" si="14"/>
        <v>0</v>
      </c>
      <c r="P53" s="44"/>
      <c r="Q53" s="44"/>
      <c r="R53" s="37">
        <f t="shared" si="15"/>
        <v>0</v>
      </c>
      <c r="S53" s="38">
        <f t="shared" si="16"/>
        <v>0</v>
      </c>
      <c r="T53" s="51"/>
      <c r="U53" s="42">
        <f>IFERROR(__xludf.DUMMYFUNCTION("""COMPUTED_VALUE"""),0.0)</f>
        <v>0</v>
      </c>
      <c r="V53" s="24"/>
      <c r="W53" s="24"/>
    </row>
    <row r="54" ht="37.5" customHeight="1">
      <c r="A54" s="24"/>
      <c r="B54" s="25">
        <v>21.0</v>
      </c>
      <c r="C54" s="49"/>
      <c r="D54" s="51"/>
      <c r="E54" s="51"/>
      <c r="F54" s="42"/>
      <c r="G54" s="53"/>
      <c r="H54" s="31">
        <f t="shared" si="10"/>
        <v>0</v>
      </c>
      <c r="I54" s="31">
        <f t="shared" si="11"/>
        <v>0</v>
      </c>
      <c r="J54" s="32" t="str">
        <f t="shared" si="12"/>
        <v/>
      </c>
      <c r="K54" s="32"/>
      <c r="L54" s="33">
        <f t="shared" si="13"/>
        <v>0</v>
      </c>
      <c r="M54" s="32"/>
      <c r="N54" s="32"/>
      <c r="O54" s="34">
        <f t="shared" si="14"/>
        <v>0</v>
      </c>
      <c r="P54" s="44"/>
      <c r="Q54" s="44"/>
      <c r="R54" s="37">
        <f t="shared" si="15"/>
        <v>0</v>
      </c>
      <c r="S54" s="38">
        <f t="shared" si="16"/>
        <v>0</v>
      </c>
      <c r="T54" s="51"/>
      <c r="U54" s="42"/>
      <c r="V54" s="24"/>
      <c r="W54" s="24"/>
    </row>
    <row r="55" ht="37.5" customHeight="1">
      <c r="A55" s="24"/>
      <c r="B55" s="25">
        <v>22.0</v>
      </c>
      <c r="C55" s="49"/>
      <c r="D55" s="51"/>
      <c r="E55" s="51"/>
      <c r="F55" s="42"/>
      <c r="G55" s="53"/>
      <c r="H55" s="31">
        <f t="shared" si="10"/>
        <v>0</v>
      </c>
      <c r="I55" s="31">
        <f t="shared" si="11"/>
        <v>0</v>
      </c>
      <c r="J55" s="32" t="str">
        <f t="shared" si="12"/>
        <v/>
      </c>
      <c r="K55" s="32"/>
      <c r="L55" s="33">
        <f t="shared" si="13"/>
        <v>0</v>
      </c>
      <c r="M55" s="32"/>
      <c r="N55" s="32"/>
      <c r="O55" s="34">
        <f t="shared" si="14"/>
        <v>0</v>
      </c>
      <c r="P55" s="44"/>
      <c r="Q55" s="44"/>
      <c r="R55" s="37">
        <f t="shared" si="15"/>
        <v>0</v>
      </c>
      <c r="S55" s="38">
        <f t="shared" si="16"/>
        <v>0</v>
      </c>
      <c r="T55" s="51"/>
      <c r="U55" s="42"/>
      <c r="V55" s="24"/>
      <c r="W55" s="24"/>
    </row>
    <row r="56" ht="37.5" customHeight="1">
      <c r="B56" s="54"/>
      <c r="F56" s="55" t="s">
        <v>21</v>
      </c>
      <c r="S56" s="56">
        <f>SUM(S34:S55)</f>
        <v>4320000</v>
      </c>
      <c r="T56" s="57"/>
      <c r="U56" s="58"/>
    </row>
    <row r="57" ht="37.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t="37.5" customHeight="1">
      <c r="B58" s="21" t="str">
        <f>IFERROR(__xludf.DUMMYFUNCTION("IMPORTRANGE(""https://docs.google.com/spreadsheets/d/17TnzcKnlaqlAyM_3lnNpgK5CAOPbscCCRVH50X8UulY/edit?usp=sharing"",""JANUARI!B50"")"),"TANGGAL : 12 - 17 JANUARI 2026")</f>
        <v>TANGGAL : 12 - 17 JANUARI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IFERROR(__xludf.DUMMYFUNCTION("IMPORTRANGE(""https://docs.google.com/spreadsheets/d/17TnzcKnlaqlAyM_3lnNpgK5CAOPbscCCRVH50X8UulY/edit?usp=sharing"",""JANUARI!B51:D70"")"),"DENI")</f>
        <v>DENI</v>
      </c>
      <c r="D59" s="27" t="str">
        <f>IFERROR(__xludf.DUMMYFUNCTION("""COMPUTED_VALUE"""),"KEPALA")</f>
        <v>KEPALA</v>
      </c>
      <c r="E59" s="28"/>
      <c r="F59" s="52">
        <f>IFERROR(__xludf.DUMMYFUNCTION("IMPORTRANGE(""https://docs.google.com/spreadsheets/d/17TnzcKnlaqlAyM_3lnNpgK5CAOPbscCCRVH50X8UulY/edit?usp=sharing"",""JANUARI!K51:K69"")"),6.0)</f>
        <v>6</v>
      </c>
      <c r="G59" s="30">
        <v>110000.0</v>
      </c>
      <c r="H59" s="31">
        <f t="shared" ref="H59:H80" si="17">F59*G59</f>
        <v>660000</v>
      </c>
      <c r="I59" s="31">
        <f t="shared" ref="I59:I80" si="18">F59*10000</f>
        <v>60000</v>
      </c>
      <c r="J59" s="32" t="str">
        <f t="shared" ref="J59:J80" si="19">IF(E59="SHIFT 2",I59,"")</f>
        <v/>
      </c>
      <c r="K59" s="32"/>
      <c r="L59" s="33">
        <f t="shared" ref="L59:L80" si="20">U59*$L$58</f>
        <v>0</v>
      </c>
      <c r="M59" s="32"/>
      <c r="N59" s="32"/>
      <c r="O59" s="34">
        <f t="shared" ref="O59:O80" si="21">SUM(H59:N59)</f>
        <v>720000</v>
      </c>
      <c r="P59" s="36"/>
      <c r="Q59" s="36"/>
      <c r="R59" s="37">
        <f t="shared" ref="R59:R80" si="22">SUM(P59:Q59)</f>
        <v>0</v>
      </c>
      <c r="S59" s="38">
        <f t="shared" ref="S59:S80" si="23">O59-R59</f>
        <v>720000</v>
      </c>
      <c r="T59" s="39" t="str">
        <f>IFERROR(__xludf.DUMMYFUNCTION("IMPORTRANGE(""https://docs.google.com/spreadsheets/d/17TnzcKnlaqlAyM_3lnNpgK5CAOPbscCCRVH50X8UulY/edit?usp=sharing"",""JANUARI!L51:L70"")"),"")</f>
        <v/>
      </c>
      <c r="U59" s="42">
        <f>IFERROR(__xludf.DUMMYFUNCTION("IMPORTRANGE(""https://docs.google.com/spreadsheets/d/17TnzcKnlaqlAyM_3lnNpgK5CAOPbscCCRVH50X8UulY/edit?usp=sharing"",""JANUARI!U51:U70"")"),0.0)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/>
      <c r="F60" s="52">
        <f>IFERROR(__xludf.DUMMYFUNCTION("""COMPUTED_VALUE"""),6.0)</f>
        <v>6</v>
      </c>
      <c r="G60" s="30">
        <v>70000.0</v>
      </c>
      <c r="H60" s="31">
        <f t="shared" si="17"/>
        <v>420000</v>
      </c>
      <c r="I60" s="31">
        <f t="shared" si="18"/>
        <v>60000</v>
      </c>
      <c r="J60" s="32" t="str">
        <f t="shared" si="19"/>
        <v/>
      </c>
      <c r="K60" s="41"/>
      <c r="L60" s="33">
        <f t="shared" si="20"/>
        <v>0</v>
      </c>
      <c r="M60" s="41"/>
      <c r="N60" s="41"/>
      <c r="O60" s="34">
        <f t="shared" si="21"/>
        <v>480000</v>
      </c>
      <c r="P60" s="36"/>
      <c r="Q60" s="36"/>
      <c r="R60" s="37">
        <f t="shared" si="22"/>
        <v>0</v>
      </c>
      <c r="S60" s="38">
        <f t="shared" si="23"/>
        <v>480000</v>
      </c>
      <c r="T60" s="39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 t="str">
        <f>IFERROR(__xludf.DUMMYFUNCTION("""COMPUTED_VALUE"""),"ANDRI")</f>
        <v>ANDRI</v>
      </c>
      <c r="D61" s="27" t="str">
        <f>IFERROR(__xludf.DUMMYFUNCTION("""COMPUTED_VALUE"""),"DESIGN BORDIR")</f>
        <v>DESIGN BORDIR</v>
      </c>
      <c r="E61" s="28"/>
      <c r="F61" s="52">
        <f>IFERROR(__xludf.DUMMYFUNCTION("""COMPUTED_VALUE"""),6.0)</f>
        <v>6</v>
      </c>
      <c r="G61" s="30">
        <v>70000.0</v>
      </c>
      <c r="H61" s="31">
        <f t="shared" si="17"/>
        <v>420000</v>
      </c>
      <c r="I61" s="31">
        <f t="shared" si="18"/>
        <v>60000</v>
      </c>
      <c r="J61" s="32" t="str">
        <f t="shared" si="19"/>
        <v/>
      </c>
      <c r="K61" s="41"/>
      <c r="L61" s="33">
        <f t="shared" si="20"/>
        <v>0</v>
      </c>
      <c r="M61" s="41"/>
      <c r="N61" s="41"/>
      <c r="O61" s="34">
        <f t="shared" si="21"/>
        <v>480000</v>
      </c>
      <c r="P61" s="36"/>
      <c r="Q61" s="36"/>
      <c r="R61" s="37">
        <f t="shared" si="22"/>
        <v>0</v>
      </c>
      <c r="S61" s="38">
        <f t="shared" si="23"/>
        <v>480000</v>
      </c>
      <c r="T61" s="39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IFERROR(__xludf.DUMMYFUNCTION("""COMPUTED_VALUE"""),"ADIT")</f>
        <v>ADIT</v>
      </c>
      <c r="D62" s="27" t="str">
        <f>IFERROR(__xludf.DUMMYFUNCTION("""COMPUTED_VALUE"""),"CREATOR")</f>
        <v>CREATOR</v>
      </c>
      <c r="E62" s="28"/>
      <c r="F62" s="52">
        <f>IFERROR(__xludf.DUMMYFUNCTION("""COMPUTED_VALUE"""),5.0)</f>
        <v>5</v>
      </c>
      <c r="G62" s="30">
        <v>50000.0</v>
      </c>
      <c r="H62" s="31">
        <f t="shared" si="17"/>
        <v>250000</v>
      </c>
      <c r="I62" s="31">
        <f t="shared" si="18"/>
        <v>50000</v>
      </c>
      <c r="J62" s="32" t="str">
        <f t="shared" si="19"/>
        <v/>
      </c>
      <c r="K62" s="32"/>
      <c r="L62" s="33">
        <f t="shared" si="20"/>
        <v>0</v>
      </c>
      <c r="M62" s="32"/>
      <c r="N62" s="32"/>
      <c r="O62" s="34">
        <f t="shared" si="21"/>
        <v>300000</v>
      </c>
      <c r="P62" s="36"/>
      <c r="Q62" s="36"/>
      <c r="R62" s="37">
        <f t="shared" si="22"/>
        <v>0</v>
      </c>
      <c r="S62" s="38">
        <f t="shared" si="23"/>
        <v>300000</v>
      </c>
      <c r="T62" s="39"/>
      <c r="U62" s="42">
        <f>IFERROR(__xludf.DUMMYFUNCTION("""COMPUTED_VALUE"""),0.0)</f>
        <v>0</v>
      </c>
      <c r="V62" s="63"/>
      <c r="W62" s="63"/>
    </row>
    <row r="63" ht="37.5" customHeight="1">
      <c r="B63" s="25">
        <v>5.0</v>
      </c>
      <c r="C63" s="26" t="str">
        <f>IFERROR(__xludf.DUMMYFUNCTION("""COMPUTED_VALUE"""),"EPUL")</f>
        <v>EPUL</v>
      </c>
      <c r="D63" s="27" t="str">
        <f>IFERROR(__xludf.DUMMYFUNCTION("""COMPUTED_VALUE"""),"OP MESIN")</f>
        <v>OP MESIN</v>
      </c>
      <c r="E63" s="28"/>
      <c r="F63" s="52">
        <f>IFERROR(__xludf.DUMMYFUNCTION("""COMPUTED_VALUE"""),6.0)</f>
        <v>6</v>
      </c>
      <c r="G63" s="30">
        <v>70000.0</v>
      </c>
      <c r="H63" s="31">
        <f t="shared" si="17"/>
        <v>420000</v>
      </c>
      <c r="I63" s="31">
        <f t="shared" si="18"/>
        <v>60000</v>
      </c>
      <c r="J63" s="32" t="str">
        <f t="shared" si="19"/>
        <v/>
      </c>
      <c r="K63" s="32"/>
      <c r="L63" s="33">
        <f t="shared" si="20"/>
        <v>0</v>
      </c>
      <c r="M63" s="32"/>
      <c r="N63" s="32"/>
      <c r="O63" s="34">
        <f t="shared" si="21"/>
        <v>480000</v>
      </c>
      <c r="P63" s="36"/>
      <c r="Q63" s="36"/>
      <c r="R63" s="37">
        <f t="shared" si="22"/>
        <v>0</v>
      </c>
      <c r="S63" s="38">
        <f t="shared" si="23"/>
        <v>480000</v>
      </c>
      <c r="T63" s="39"/>
      <c r="U63" s="42">
        <f>IFERROR(__xludf.DUMMYFUNCTION("""COMPUTED_VALUE"""),0.0)</f>
        <v>0</v>
      </c>
      <c r="V63" s="63"/>
      <c r="W63" s="63"/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/>
      <c r="F64" s="52">
        <f>IFERROR(__xludf.DUMMYFUNCTION("""COMPUTED_VALUE"""),6.0)</f>
        <v>6</v>
      </c>
      <c r="G64" s="30">
        <v>70000.0</v>
      </c>
      <c r="H64" s="31">
        <f t="shared" si="17"/>
        <v>420000</v>
      </c>
      <c r="I64" s="31">
        <f t="shared" si="18"/>
        <v>60000</v>
      </c>
      <c r="J64" s="32" t="str">
        <f t="shared" si="19"/>
        <v/>
      </c>
      <c r="K64" s="32"/>
      <c r="L64" s="33">
        <f t="shared" si="20"/>
        <v>0</v>
      </c>
      <c r="M64" s="32"/>
      <c r="N64" s="32"/>
      <c r="O64" s="34">
        <f t="shared" si="21"/>
        <v>480000</v>
      </c>
      <c r="P64" s="36"/>
      <c r="Q64" s="36"/>
      <c r="R64" s="37">
        <f t="shared" si="22"/>
        <v>0</v>
      </c>
      <c r="S64" s="38">
        <f t="shared" si="23"/>
        <v>480000</v>
      </c>
      <c r="T64" s="39"/>
      <c r="U64" s="42">
        <f>IFERROR(__xludf.DUMMYFUNCTION("""COMPUTED_VALUE"""),0.0)</f>
        <v>0</v>
      </c>
      <c r="V64" s="63"/>
      <c r="W64" s="63"/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/>
      <c r="F65" s="52">
        <f>IFERROR(__xludf.DUMMYFUNCTION("""COMPUTED_VALUE"""),6.0)</f>
        <v>6</v>
      </c>
      <c r="G65" s="30">
        <v>70000.0</v>
      </c>
      <c r="H65" s="31">
        <f t="shared" si="17"/>
        <v>420000</v>
      </c>
      <c r="I65" s="31">
        <f t="shared" si="18"/>
        <v>60000</v>
      </c>
      <c r="J65" s="32" t="str">
        <f t="shared" si="19"/>
        <v/>
      </c>
      <c r="K65" s="32"/>
      <c r="L65" s="33">
        <f t="shared" si="20"/>
        <v>0</v>
      </c>
      <c r="M65" s="32"/>
      <c r="N65" s="32"/>
      <c r="O65" s="34">
        <f t="shared" si="21"/>
        <v>480000</v>
      </c>
      <c r="P65" s="36"/>
      <c r="Q65" s="36"/>
      <c r="R65" s="37">
        <f t="shared" si="22"/>
        <v>0</v>
      </c>
      <c r="S65" s="38">
        <f t="shared" si="23"/>
        <v>480000</v>
      </c>
      <c r="T65" s="39" t="str">
        <f>IFERROR(__xludf.DUMMYFUNCTION("""COMPUTED_VALUE"""),"
")</f>
        <v>
</v>
      </c>
      <c r="U65" s="42">
        <f>IFERROR(__xludf.DUMMYFUNCTION("""COMPUTED_VALUE"""),0.0)</f>
        <v>0</v>
      </c>
      <c r="V65" s="63"/>
      <c r="W65" s="63"/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/>
      <c r="F66" s="52">
        <f>IFERROR(__xludf.DUMMYFUNCTION("""COMPUTED_VALUE"""),6.0)</f>
        <v>6</v>
      </c>
      <c r="G66" s="30">
        <v>50000.0</v>
      </c>
      <c r="H66" s="31">
        <f t="shared" si="17"/>
        <v>300000</v>
      </c>
      <c r="I66" s="31">
        <f t="shared" si="18"/>
        <v>60000</v>
      </c>
      <c r="J66" s="32" t="str">
        <f t="shared" si="19"/>
        <v/>
      </c>
      <c r="K66" s="32"/>
      <c r="L66" s="33">
        <f t="shared" si="20"/>
        <v>0</v>
      </c>
      <c r="M66" s="32"/>
      <c r="N66" s="32"/>
      <c r="O66" s="34">
        <f t="shared" si="21"/>
        <v>360000</v>
      </c>
      <c r="P66" s="36"/>
      <c r="Q66" s="36"/>
      <c r="R66" s="37">
        <f t="shared" si="22"/>
        <v>0</v>
      </c>
      <c r="S66" s="38">
        <f t="shared" si="23"/>
        <v>360000</v>
      </c>
      <c r="T66" s="39"/>
      <c r="U66" s="42">
        <f>IFERROR(__xludf.DUMMYFUNCTION("""COMPUTED_VALUE"""),0.0)</f>
        <v>0</v>
      </c>
    </row>
    <row r="67" ht="37.5" customHeight="1">
      <c r="B67" s="25">
        <v>9.0</v>
      </c>
      <c r="C67" s="26"/>
      <c r="D67" s="27"/>
      <c r="E67" s="28"/>
      <c r="F67" s="52">
        <f>IFERROR(__xludf.DUMMYFUNCTION("""COMPUTED_VALUE"""),0.0)</f>
        <v>0</v>
      </c>
      <c r="G67" s="30"/>
      <c r="H67" s="31">
        <f t="shared" si="17"/>
        <v>0</v>
      </c>
      <c r="I67" s="31">
        <f t="shared" si="18"/>
        <v>0</v>
      </c>
      <c r="J67" s="32" t="str">
        <f t="shared" si="19"/>
        <v/>
      </c>
      <c r="K67" s="32"/>
      <c r="L67" s="33">
        <f t="shared" si="20"/>
        <v>0</v>
      </c>
      <c r="M67" s="32"/>
      <c r="N67" s="32"/>
      <c r="O67" s="34">
        <f t="shared" si="21"/>
        <v>0</v>
      </c>
      <c r="P67" s="36"/>
      <c r="Q67" s="36"/>
      <c r="R67" s="37">
        <f t="shared" si="22"/>
        <v>0</v>
      </c>
      <c r="S67" s="38">
        <f t="shared" si="23"/>
        <v>0</v>
      </c>
      <c r="T67" s="39"/>
      <c r="U67" s="42">
        <f>IFERROR(__xludf.DUMMYFUNCTION("""COMPUTED_VALUE"""),0.0)</f>
        <v>0</v>
      </c>
    </row>
    <row r="68" ht="37.5" customHeight="1">
      <c r="B68" s="25">
        <v>10.0</v>
      </c>
      <c r="C68" s="49"/>
      <c r="D68" s="50"/>
      <c r="E68" s="51"/>
      <c r="F68" s="52">
        <f>IFERROR(__xludf.DUMMYFUNCTION("""COMPUTED_VALUE"""),0.0)</f>
        <v>0</v>
      </c>
      <c r="G68" s="45"/>
      <c r="H68" s="31">
        <f t="shared" si="17"/>
        <v>0</v>
      </c>
      <c r="I68" s="31">
        <f t="shared" si="18"/>
        <v>0</v>
      </c>
      <c r="J68" s="32" t="str">
        <f t="shared" si="19"/>
        <v/>
      </c>
      <c r="K68" s="32"/>
      <c r="L68" s="33">
        <f t="shared" si="20"/>
        <v>0</v>
      </c>
      <c r="M68" s="32"/>
      <c r="N68" s="32"/>
      <c r="O68" s="34">
        <f t="shared" si="21"/>
        <v>0</v>
      </c>
      <c r="P68" s="36"/>
      <c r="Q68" s="36"/>
      <c r="R68" s="37">
        <f t="shared" si="22"/>
        <v>0</v>
      </c>
      <c r="S68" s="38">
        <f t="shared" si="23"/>
        <v>0</v>
      </c>
      <c r="T68" s="39"/>
      <c r="U68" s="42">
        <f>IFERROR(__xludf.DUMMYFUNCTION("""COMPUTED_VALUE"""),0.0)</f>
        <v>0</v>
      </c>
    </row>
    <row r="69" ht="37.5" customHeight="1">
      <c r="B69" s="25">
        <v>11.0</v>
      </c>
      <c r="C69" s="49"/>
      <c r="D69" s="50"/>
      <c r="E69" s="51"/>
      <c r="F69" s="52">
        <f>IFERROR(__xludf.DUMMYFUNCTION("""COMPUTED_VALUE"""),0.0)</f>
        <v>0</v>
      </c>
      <c r="G69" s="45"/>
      <c r="H69" s="31">
        <f t="shared" si="17"/>
        <v>0</v>
      </c>
      <c r="I69" s="31">
        <f t="shared" si="18"/>
        <v>0</v>
      </c>
      <c r="J69" s="32" t="str">
        <f t="shared" si="19"/>
        <v/>
      </c>
      <c r="K69" s="32"/>
      <c r="L69" s="33">
        <f t="shared" si="20"/>
        <v>0</v>
      </c>
      <c r="M69" s="32"/>
      <c r="N69" s="32"/>
      <c r="O69" s="34">
        <f t="shared" si="21"/>
        <v>0</v>
      </c>
      <c r="P69" s="36"/>
      <c r="Q69" s="36"/>
      <c r="R69" s="37">
        <f t="shared" si="22"/>
        <v>0</v>
      </c>
      <c r="S69" s="38">
        <f t="shared" si="23"/>
        <v>0</v>
      </c>
      <c r="T69" s="39"/>
      <c r="U69" s="42">
        <f>IFERROR(__xludf.DUMMYFUNCTION("""COMPUTED_VALUE"""),0.0)</f>
        <v>0</v>
      </c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7"/>
        <v>0</v>
      </c>
      <c r="I70" s="31">
        <f t="shared" si="18"/>
        <v>0</v>
      </c>
      <c r="J70" s="32" t="str">
        <f t="shared" si="19"/>
        <v/>
      </c>
      <c r="K70" s="32"/>
      <c r="L70" s="33">
        <f t="shared" si="20"/>
        <v>0</v>
      </c>
      <c r="M70" s="32"/>
      <c r="N70" s="32"/>
      <c r="O70" s="34">
        <f t="shared" si="21"/>
        <v>0</v>
      </c>
      <c r="P70" s="36"/>
      <c r="Q70" s="36"/>
      <c r="R70" s="37">
        <f t="shared" si="22"/>
        <v>0</v>
      </c>
      <c r="S70" s="38">
        <f t="shared" si="23"/>
        <v>0</v>
      </c>
      <c r="T70" s="39"/>
      <c r="U70" s="42">
        <f>IFERROR(__xludf.DUMMYFUNCTION("""COMPUTED_VALUE"""),0.0)</f>
        <v>0</v>
      </c>
    </row>
    <row r="71" ht="37.5" customHeight="1">
      <c r="B71" s="25">
        <v>13.0</v>
      </c>
      <c r="C71" s="49"/>
      <c r="D71" s="50"/>
      <c r="E71" s="51"/>
      <c r="F71" s="52">
        <f>IFERROR(__xludf.DUMMYFUNCTION("""COMPUTED_VALUE"""),0.0)</f>
        <v>0</v>
      </c>
      <c r="G71" s="45"/>
      <c r="H71" s="31">
        <f t="shared" si="17"/>
        <v>0</v>
      </c>
      <c r="I71" s="31">
        <f t="shared" si="18"/>
        <v>0</v>
      </c>
      <c r="J71" s="32" t="str">
        <f t="shared" si="19"/>
        <v/>
      </c>
      <c r="K71" s="32"/>
      <c r="L71" s="33">
        <f t="shared" si="20"/>
        <v>0</v>
      </c>
      <c r="M71" s="32"/>
      <c r="N71" s="32"/>
      <c r="O71" s="34">
        <f t="shared" si="21"/>
        <v>0</v>
      </c>
      <c r="P71" s="36"/>
      <c r="Q71" s="36"/>
      <c r="R71" s="37">
        <f t="shared" si="22"/>
        <v>0</v>
      </c>
      <c r="S71" s="38">
        <f t="shared" si="23"/>
        <v>0</v>
      </c>
      <c r="T71" s="39"/>
      <c r="U71" s="42">
        <f>IFERROR(__xludf.DUMMYFUNCTION("""COMPUTED_VALUE"""),0.0)</f>
        <v>0</v>
      </c>
    </row>
    <row r="72" ht="37.5" customHeight="1">
      <c r="B72" s="25">
        <v>14.0</v>
      </c>
      <c r="C72" s="49"/>
      <c r="D72" s="50"/>
      <c r="E72" s="51"/>
      <c r="F72" s="52">
        <f>IFERROR(__xludf.DUMMYFUNCTION("""COMPUTED_VALUE"""),0.0)</f>
        <v>0</v>
      </c>
      <c r="G72" s="45"/>
      <c r="H72" s="31">
        <f t="shared" si="17"/>
        <v>0</v>
      </c>
      <c r="I72" s="31">
        <f t="shared" si="18"/>
        <v>0</v>
      </c>
      <c r="J72" s="32" t="str">
        <f t="shared" si="19"/>
        <v/>
      </c>
      <c r="K72" s="32"/>
      <c r="L72" s="33">
        <f t="shared" si="20"/>
        <v>0</v>
      </c>
      <c r="M72" s="32"/>
      <c r="N72" s="32"/>
      <c r="O72" s="34">
        <f t="shared" si="21"/>
        <v>0</v>
      </c>
      <c r="P72" s="36"/>
      <c r="Q72" s="36"/>
      <c r="R72" s="37">
        <f t="shared" si="22"/>
        <v>0</v>
      </c>
      <c r="S72" s="38">
        <f t="shared" si="23"/>
        <v>0</v>
      </c>
      <c r="T72" s="39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7"/>
        <v>0</v>
      </c>
      <c r="I73" s="31">
        <f t="shared" si="18"/>
        <v>0</v>
      </c>
      <c r="J73" s="32" t="str">
        <f t="shared" si="19"/>
        <v/>
      </c>
      <c r="K73" s="32"/>
      <c r="L73" s="33">
        <f t="shared" si="20"/>
        <v>0</v>
      </c>
      <c r="M73" s="32"/>
      <c r="N73" s="32"/>
      <c r="O73" s="34">
        <f t="shared" si="21"/>
        <v>0</v>
      </c>
      <c r="P73" s="36"/>
      <c r="Q73" s="36"/>
      <c r="R73" s="37">
        <f t="shared" si="22"/>
        <v>0</v>
      </c>
      <c r="S73" s="38">
        <f t="shared" si="23"/>
        <v>0</v>
      </c>
      <c r="T73" s="39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7"/>
        <v>0</v>
      </c>
      <c r="I74" s="31">
        <f t="shared" si="18"/>
        <v>0</v>
      </c>
      <c r="J74" s="32" t="str">
        <f t="shared" si="19"/>
        <v/>
      </c>
      <c r="K74" s="32"/>
      <c r="L74" s="33">
        <f t="shared" si="20"/>
        <v>0</v>
      </c>
      <c r="M74" s="32"/>
      <c r="N74" s="32"/>
      <c r="O74" s="34">
        <f t="shared" si="21"/>
        <v>0</v>
      </c>
      <c r="P74" s="44"/>
      <c r="Q74" s="44"/>
      <c r="R74" s="37">
        <f t="shared" si="22"/>
        <v>0</v>
      </c>
      <c r="S74" s="38">
        <f t="shared" si="23"/>
        <v>0</v>
      </c>
      <c r="T74" s="39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7"/>
        <v>0</v>
      </c>
      <c r="I75" s="31">
        <f t="shared" si="18"/>
        <v>0</v>
      </c>
      <c r="J75" s="32" t="str">
        <f t="shared" si="19"/>
        <v/>
      </c>
      <c r="K75" s="32"/>
      <c r="L75" s="33">
        <f t="shared" si="20"/>
        <v>0</v>
      </c>
      <c r="M75" s="32"/>
      <c r="N75" s="32"/>
      <c r="O75" s="34">
        <f t="shared" si="21"/>
        <v>0</v>
      </c>
      <c r="P75" s="44"/>
      <c r="Q75" s="44"/>
      <c r="R75" s="37">
        <f t="shared" si="22"/>
        <v>0</v>
      </c>
      <c r="S75" s="38">
        <f t="shared" si="23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7"/>
        <v>0</v>
      </c>
      <c r="I76" s="31">
        <f t="shared" si="18"/>
        <v>0</v>
      </c>
      <c r="J76" s="32" t="str">
        <f t="shared" si="19"/>
        <v/>
      </c>
      <c r="K76" s="32"/>
      <c r="L76" s="33">
        <f t="shared" si="20"/>
        <v>0</v>
      </c>
      <c r="M76" s="32"/>
      <c r="N76" s="32"/>
      <c r="O76" s="34">
        <f t="shared" si="21"/>
        <v>0</v>
      </c>
      <c r="P76" s="44"/>
      <c r="Q76" s="44"/>
      <c r="R76" s="37">
        <f t="shared" si="22"/>
        <v>0</v>
      </c>
      <c r="S76" s="38">
        <f t="shared" si="23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7"/>
        <v>0</v>
      </c>
      <c r="I77" s="31">
        <f t="shared" si="18"/>
        <v>0</v>
      </c>
      <c r="J77" s="32" t="str">
        <f t="shared" si="19"/>
        <v/>
      </c>
      <c r="K77" s="32"/>
      <c r="L77" s="33">
        <f t="shared" si="20"/>
        <v>0</v>
      </c>
      <c r="M77" s="32"/>
      <c r="N77" s="32"/>
      <c r="O77" s="34">
        <f t="shared" si="21"/>
        <v>0</v>
      </c>
      <c r="P77" s="44"/>
      <c r="Q77" s="44"/>
      <c r="R77" s="37">
        <f t="shared" si="22"/>
        <v>0</v>
      </c>
      <c r="S77" s="38">
        <f t="shared" si="23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7"/>
        <v>0</v>
      </c>
      <c r="I78" s="31">
        <f t="shared" si="18"/>
        <v>0</v>
      </c>
      <c r="J78" s="32" t="str">
        <f t="shared" si="19"/>
        <v/>
      </c>
      <c r="K78" s="32"/>
      <c r="L78" s="33">
        <f t="shared" si="20"/>
        <v>0</v>
      </c>
      <c r="M78" s="32"/>
      <c r="N78" s="32"/>
      <c r="O78" s="34">
        <f t="shared" si="21"/>
        <v>0</v>
      </c>
      <c r="P78" s="44"/>
      <c r="Q78" s="44"/>
      <c r="R78" s="37">
        <f t="shared" si="22"/>
        <v>0</v>
      </c>
      <c r="S78" s="38">
        <f t="shared" si="23"/>
        <v>0</v>
      </c>
      <c r="T78" s="51"/>
      <c r="U78" s="42">
        <f>IFERROR(__xludf.DUMMYFUNCTION("""COMPUTED_VALUE"""),0.0)</f>
        <v>0</v>
      </c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7"/>
        <v>0</v>
      </c>
      <c r="I79" s="31">
        <f t="shared" si="18"/>
        <v>0</v>
      </c>
      <c r="J79" s="32" t="str">
        <f t="shared" si="19"/>
        <v/>
      </c>
      <c r="K79" s="32"/>
      <c r="L79" s="33">
        <f t="shared" si="20"/>
        <v>0</v>
      </c>
      <c r="M79" s="32"/>
      <c r="N79" s="32"/>
      <c r="O79" s="34">
        <f t="shared" si="21"/>
        <v>0</v>
      </c>
      <c r="P79" s="44"/>
      <c r="Q79" s="44"/>
      <c r="R79" s="37">
        <f t="shared" si="22"/>
        <v>0</v>
      </c>
      <c r="S79" s="38">
        <f t="shared" si="23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7"/>
        <v>0</v>
      </c>
      <c r="I80" s="31">
        <f t="shared" si="18"/>
        <v>0</v>
      </c>
      <c r="J80" s="32" t="str">
        <f t="shared" si="19"/>
        <v/>
      </c>
      <c r="K80" s="32"/>
      <c r="L80" s="33">
        <f t="shared" si="20"/>
        <v>0</v>
      </c>
      <c r="M80" s="32"/>
      <c r="N80" s="32"/>
      <c r="O80" s="34">
        <f t="shared" si="21"/>
        <v>0</v>
      </c>
      <c r="P80" s="44"/>
      <c r="Q80" s="44"/>
      <c r="R80" s="37">
        <f t="shared" si="22"/>
        <v>0</v>
      </c>
      <c r="S80" s="38">
        <f t="shared" si="23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3780000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IFERROR(__xludf.DUMMYFUNCTION("IMPORTRANGE(""https://docs.google.com/spreadsheets/d/17TnzcKnlaqlAyM_3lnNpgK5CAOPbscCCRVH50X8UulY/edit?usp=sharing"",""JANUARI!B72"")"),"TANGGAL : 19 - 24 JANUARI 2026")</f>
        <v>TANGGAL : 19 - 24 JANUARI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IFERROR(__xludf.DUMMYFUNCTION("IMPORTRANGE(""https://docs.google.com/spreadsheets/d/17TnzcKnlaqlAyM_3lnNpgK5CAOPbscCCRVH50X8UulY/edit?usp=sharing"",""JANUARI!B73:D92"")"),"DENI")</f>
        <v>DENI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IFERROR(__xludf.DUMMYFUNCTION("IMPORTRANGE(""https://docs.google.com/spreadsheets/d/17TnzcKnlaqlAyM_3lnNpgK5CAOPbscCCRVH50X8UulY/edit?usp=sharing"",""JANUARI!K73:K91"")"),5.0)</f>
        <v>5</v>
      </c>
      <c r="G84" s="30">
        <v>110000.0</v>
      </c>
      <c r="H84" s="31">
        <f t="shared" ref="H84:H105" si="24">F84*G84</f>
        <v>550000</v>
      </c>
      <c r="I84" s="31">
        <f t="shared" ref="I84:I105" si="25">F84*10000</f>
        <v>50000</v>
      </c>
      <c r="J84" s="32" t="str">
        <f t="shared" ref="J84:J105" si="26">IF(E84="SHIFT 2",I84,"")</f>
        <v/>
      </c>
      <c r="K84" s="32"/>
      <c r="L84" s="33">
        <f t="shared" ref="L84:L105" si="27">U84*$L$83</f>
        <v>0</v>
      </c>
      <c r="M84" s="32"/>
      <c r="N84" s="32"/>
      <c r="O84" s="34">
        <f t="shared" ref="O84:O105" si="28">SUM(H84:N84)</f>
        <v>600000</v>
      </c>
      <c r="P84" s="44"/>
      <c r="Q84" s="44"/>
      <c r="R84" s="37">
        <f t="shared" ref="R84:R105" si="29">SUM(P84:Q84)</f>
        <v>0</v>
      </c>
      <c r="S84" s="38">
        <f t="shared" ref="S84:S105" si="30">O84-R84</f>
        <v>600000</v>
      </c>
      <c r="T84" s="39" t="str">
        <f>IFERROR(__xludf.DUMMYFUNCTION("IMPORTRANGE(""https://docs.google.com/spreadsheets/d/17TnzcKnlaqlAyM_3lnNpgK5CAOPbscCCRVH50X8UulY/edit?usp=sharing"",""JANUARI!L73:L92"")"),"")</f>
        <v/>
      </c>
      <c r="U84" s="42">
        <f>IFERROR(__xludf.DUMMYFUNCTION("IMPORTRANGE(""https://docs.google.com/spreadsheets/d/17TnzcKnlaqlAyM_3lnNpgK5CAOPbscCCRVH50X8UulY/edit?usp=sharing"",""JANUARI!U73:U92"")"),0.0)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IFERROR(__xludf.DUMMYFUNCTION("""COMPUTED_VALUE"""),6.0)</f>
        <v>6</v>
      </c>
      <c r="G85" s="30">
        <v>70000.0</v>
      </c>
      <c r="H85" s="31">
        <f t="shared" si="24"/>
        <v>420000</v>
      </c>
      <c r="I85" s="31">
        <f t="shared" si="25"/>
        <v>60000</v>
      </c>
      <c r="J85" s="32" t="str">
        <f t="shared" si="26"/>
        <v/>
      </c>
      <c r="K85" s="41"/>
      <c r="L85" s="33">
        <f t="shared" si="27"/>
        <v>0</v>
      </c>
      <c r="M85" s="41"/>
      <c r="N85" s="41"/>
      <c r="O85" s="34">
        <f t="shared" si="28"/>
        <v>480000</v>
      </c>
      <c r="P85" s="44"/>
      <c r="Q85" s="44"/>
      <c r="R85" s="37">
        <f t="shared" si="29"/>
        <v>0</v>
      </c>
      <c r="S85" s="38">
        <f t="shared" si="30"/>
        <v>480000</v>
      </c>
      <c r="T85" s="39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 t="str">
        <f>IFERROR(__xludf.DUMMYFUNCTION("""COMPUTED_VALUE"""),"ANDRI")</f>
        <v>ANDRI</v>
      </c>
      <c r="D86" s="27" t="str">
        <f>IFERROR(__xludf.DUMMYFUNCTION("""COMPUTED_VALUE"""),"DESIGN BORDIR")</f>
        <v>DESIGN BORDIR</v>
      </c>
      <c r="E86" s="28"/>
      <c r="F86" s="52">
        <f>IFERROR(__xludf.DUMMYFUNCTION("""COMPUTED_VALUE"""),4.0)</f>
        <v>4</v>
      </c>
      <c r="G86" s="30">
        <v>70000.0</v>
      </c>
      <c r="H86" s="31">
        <f t="shared" si="24"/>
        <v>280000</v>
      </c>
      <c r="I86" s="31">
        <f t="shared" si="25"/>
        <v>40000</v>
      </c>
      <c r="J86" s="32" t="str">
        <f t="shared" si="26"/>
        <v/>
      </c>
      <c r="K86" s="41"/>
      <c r="L86" s="33">
        <f t="shared" si="27"/>
        <v>0</v>
      </c>
      <c r="M86" s="41"/>
      <c r="N86" s="41"/>
      <c r="O86" s="34">
        <f t="shared" si="28"/>
        <v>320000</v>
      </c>
      <c r="P86" s="44"/>
      <c r="Q86" s="44"/>
      <c r="R86" s="37">
        <f t="shared" si="29"/>
        <v>0</v>
      </c>
      <c r="S86" s="38">
        <f t="shared" si="30"/>
        <v>320000</v>
      </c>
      <c r="T86" s="39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IFERROR(__xludf.DUMMYFUNCTION("""COMPUTED_VALUE"""),"ADIT")</f>
        <v>ADIT</v>
      </c>
      <c r="D87" s="27" t="str">
        <f>IFERROR(__xludf.DUMMYFUNCTION("""COMPUTED_VALUE"""),"CREATOR")</f>
        <v>CREATOR</v>
      </c>
      <c r="E87" s="28"/>
      <c r="F87" s="52">
        <f>IFERROR(__xludf.DUMMYFUNCTION("""COMPUTED_VALUE"""),5.0)</f>
        <v>5</v>
      </c>
      <c r="G87" s="30">
        <v>50000.0</v>
      </c>
      <c r="H87" s="31">
        <f t="shared" si="24"/>
        <v>250000</v>
      </c>
      <c r="I87" s="31">
        <f t="shared" si="25"/>
        <v>50000</v>
      </c>
      <c r="J87" s="32" t="str">
        <f t="shared" si="26"/>
        <v/>
      </c>
      <c r="K87" s="32"/>
      <c r="L87" s="33">
        <f t="shared" si="27"/>
        <v>0</v>
      </c>
      <c r="M87" s="32"/>
      <c r="N87" s="32"/>
      <c r="O87" s="34">
        <f t="shared" si="28"/>
        <v>300000</v>
      </c>
      <c r="P87" s="44"/>
      <c r="Q87" s="44"/>
      <c r="R87" s="37">
        <f t="shared" si="29"/>
        <v>0</v>
      </c>
      <c r="S87" s="38">
        <f t="shared" si="30"/>
        <v>300000</v>
      </c>
      <c r="T87" s="39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IFERROR(__xludf.DUMMYFUNCTION("""COMPUTED_VALUE"""),"EPUL")</f>
        <v>EPUL</v>
      </c>
      <c r="D88" s="27" t="str">
        <f>IFERROR(__xludf.DUMMYFUNCTION("""COMPUTED_VALUE"""),"OP MESIN")</f>
        <v>OP MESIN</v>
      </c>
      <c r="E88" s="28"/>
      <c r="F88" s="52">
        <f>IFERROR(__xludf.DUMMYFUNCTION("""COMPUTED_VALUE"""),6.0)</f>
        <v>6</v>
      </c>
      <c r="G88" s="30">
        <v>70000.0</v>
      </c>
      <c r="H88" s="31">
        <f t="shared" si="24"/>
        <v>420000</v>
      </c>
      <c r="I88" s="31">
        <f t="shared" si="25"/>
        <v>60000</v>
      </c>
      <c r="J88" s="32" t="str">
        <f t="shared" si="26"/>
        <v/>
      </c>
      <c r="K88" s="32"/>
      <c r="L88" s="33">
        <f t="shared" si="27"/>
        <v>0</v>
      </c>
      <c r="M88" s="32"/>
      <c r="N88" s="32"/>
      <c r="O88" s="34">
        <f t="shared" si="28"/>
        <v>480000</v>
      </c>
      <c r="P88" s="44"/>
      <c r="Q88" s="44"/>
      <c r="R88" s="37">
        <f t="shared" si="29"/>
        <v>0</v>
      </c>
      <c r="S88" s="38">
        <f t="shared" si="30"/>
        <v>480000</v>
      </c>
      <c r="T88" s="39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IFERROR(__xludf.DUMMYFUNCTION("""COMPUTED_VALUE"""),6.0)</f>
        <v>6</v>
      </c>
      <c r="G89" s="30">
        <v>70000.0</v>
      </c>
      <c r="H89" s="31">
        <f t="shared" si="24"/>
        <v>420000</v>
      </c>
      <c r="I89" s="31">
        <f t="shared" si="25"/>
        <v>60000</v>
      </c>
      <c r="J89" s="32" t="str">
        <f t="shared" si="26"/>
        <v/>
      </c>
      <c r="K89" s="32"/>
      <c r="L89" s="33">
        <f t="shared" si="27"/>
        <v>0</v>
      </c>
      <c r="M89" s="32"/>
      <c r="N89" s="32"/>
      <c r="O89" s="34">
        <f t="shared" si="28"/>
        <v>480000</v>
      </c>
      <c r="P89" s="44"/>
      <c r="Q89" s="44"/>
      <c r="R89" s="37">
        <f t="shared" si="29"/>
        <v>0</v>
      </c>
      <c r="S89" s="38">
        <f t="shared" si="30"/>
        <v>480000</v>
      </c>
      <c r="T89" s="39"/>
      <c r="U89" s="42">
        <f>IFERROR(__xludf.DUMMYFUNCTION("""COMPUTED_VALUE"""),0.0)</f>
        <v>0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IFERROR(__xludf.DUMMYFUNCTION("""COMPUTED_VALUE"""),6.0)</f>
        <v>6</v>
      </c>
      <c r="G90" s="30">
        <v>70000.0</v>
      </c>
      <c r="H90" s="31">
        <f t="shared" si="24"/>
        <v>420000</v>
      </c>
      <c r="I90" s="31">
        <f t="shared" si="25"/>
        <v>60000</v>
      </c>
      <c r="J90" s="32" t="str">
        <f t="shared" si="26"/>
        <v/>
      </c>
      <c r="K90" s="32"/>
      <c r="L90" s="33">
        <f t="shared" si="27"/>
        <v>0</v>
      </c>
      <c r="M90" s="32"/>
      <c r="N90" s="32"/>
      <c r="O90" s="34">
        <f t="shared" si="28"/>
        <v>480000</v>
      </c>
      <c r="P90" s="44"/>
      <c r="Q90" s="44"/>
      <c r="R90" s="37">
        <f t="shared" si="29"/>
        <v>0</v>
      </c>
      <c r="S90" s="38">
        <f t="shared" si="30"/>
        <v>480000</v>
      </c>
      <c r="T90" s="39"/>
      <c r="U90" s="42">
        <f>IFERROR(__xludf.DUMMYFUNCTION("""COMPUTED_VALUE"""),0.0)</f>
        <v>0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IFERROR(__xludf.DUMMYFUNCTION("""COMPUTED_VALUE"""),6.0)</f>
        <v>6</v>
      </c>
      <c r="G91" s="30">
        <v>50000.0</v>
      </c>
      <c r="H91" s="31">
        <f t="shared" si="24"/>
        <v>300000</v>
      </c>
      <c r="I91" s="31">
        <f t="shared" si="25"/>
        <v>60000</v>
      </c>
      <c r="J91" s="32" t="str">
        <f t="shared" si="26"/>
        <v/>
      </c>
      <c r="K91" s="32"/>
      <c r="L91" s="33">
        <f t="shared" si="27"/>
        <v>0</v>
      </c>
      <c r="M91" s="32"/>
      <c r="N91" s="32"/>
      <c r="O91" s="34">
        <f t="shared" si="28"/>
        <v>360000</v>
      </c>
      <c r="P91" s="44"/>
      <c r="Q91" s="44"/>
      <c r="R91" s="37">
        <f t="shared" si="29"/>
        <v>0</v>
      </c>
      <c r="S91" s="38">
        <f t="shared" si="30"/>
        <v>360000</v>
      </c>
      <c r="T91" s="39"/>
      <c r="U91" s="42">
        <f>IFERROR(__xludf.DUMMYFUNCTION("""COMPUTED_VALUE"""),0.0)</f>
        <v>0</v>
      </c>
    </row>
    <row r="92" ht="37.5" customHeight="1">
      <c r="B92" s="25">
        <v>9.0</v>
      </c>
      <c r="C92" s="26"/>
      <c r="D92" s="27"/>
      <c r="E92" s="28"/>
      <c r="F92" s="52">
        <f>IFERROR(__xludf.DUMMYFUNCTION("""COMPUTED_VALUE"""),0.0)</f>
        <v>0</v>
      </c>
      <c r="G92" s="30"/>
      <c r="H92" s="31">
        <f t="shared" si="24"/>
        <v>0</v>
      </c>
      <c r="I92" s="31">
        <f t="shared" si="25"/>
        <v>0</v>
      </c>
      <c r="J92" s="32" t="str">
        <f t="shared" si="26"/>
        <v/>
      </c>
      <c r="K92" s="32"/>
      <c r="L92" s="33">
        <f t="shared" si="27"/>
        <v>0</v>
      </c>
      <c r="M92" s="32"/>
      <c r="N92" s="32"/>
      <c r="O92" s="34">
        <f t="shared" si="28"/>
        <v>0</v>
      </c>
      <c r="P92" s="44"/>
      <c r="Q92" s="44"/>
      <c r="R92" s="37">
        <f t="shared" si="29"/>
        <v>0</v>
      </c>
      <c r="S92" s="38">
        <f t="shared" si="30"/>
        <v>0</v>
      </c>
      <c r="T92" s="39"/>
      <c r="U92" s="42">
        <f>IFERROR(__xludf.DUMMYFUNCTION("""COMPUTED_VALUE"""),0.0)</f>
        <v>0</v>
      </c>
    </row>
    <row r="93" ht="37.5" customHeight="1">
      <c r="B93" s="25">
        <v>10.0</v>
      </c>
      <c r="C93" s="49"/>
      <c r="D93" s="50"/>
      <c r="E93" s="51"/>
      <c r="F93" s="52">
        <f>IFERROR(__xludf.DUMMYFUNCTION("""COMPUTED_VALUE"""),0.0)</f>
        <v>0</v>
      </c>
      <c r="G93" s="45"/>
      <c r="H93" s="31">
        <f t="shared" si="24"/>
        <v>0</v>
      </c>
      <c r="I93" s="31">
        <f t="shared" si="25"/>
        <v>0</v>
      </c>
      <c r="J93" s="32" t="str">
        <f t="shared" si="26"/>
        <v/>
      </c>
      <c r="K93" s="32"/>
      <c r="L93" s="33">
        <f t="shared" si="27"/>
        <v>0</v>
      </c>
      <c r="M93" s="32"/>
      <c r="N93" s="32"/>
      <c r="O93" s="34">
        <f t="shared" si="28"/>
        <v>0</v>
      </c>
      <c r="P93" s="44"/>
      <c r="Q93" s="44"/>
      <c r="R93" s="37">
        <f t="shared" si="29"/>
        <v>0</v>
      </c>
      <c r="S93" s="38">
        <f t="shared" si="30"/>
        <v>0</v>
      </c>
      <c r="T93" s="39"/>
      <c r="U93" s="42">
        <f>IFERROR(__xludf.DUMMYFUNCTION("""COMPUTED_VALUE"""),0.0)</f>
        <v>0</v>
      </c>
    </row>
    <row r="94" ht="37.5" customHeight="1">
      <c r="B94" s="25">
        <v>11.0</v>
      </c>
      <c r="C94" s="49"/>
      <c r="D94" s="50"/>
      <c r="E94" s="51"/>
      <c r="F94" s="52">
        <f>IFERROR(__xludf.DUMMYFUNCTION("""COMPUTED_VALUE"""),0.0)</f>
        <v>0</v>
      </c>
      <c r="G94" s="45"/>
      <c r="H94" s="31">
        <f t="shared" si="24"/>
        <v>0</v>
      </c>
      <c r="I94" s="31">
        <f t="shared" si="25"/>
        <v>0</v>
      </c>
      <c r="J94" s="32" t="str">
        <f t="shared" si="26"/>
        <v/>
      </c>
      <c r="K94" s="32"/>
      <c r="L94" s="33">
        <f t="shared" si="27"/>
        <v>0</v>
      </c>
      <c r="M94" s="32"/>
      <c r="N94" s="32"/>
      <c r="O94" s="34">
        <f t="shared" si="28"/>
        <v>0</v>
      </c>
      <c r="P94" s="44"/>
      <c r="Q94" s="44"/>
      <c r="R94" s="37">
        <f t="shared" si="29"/>
        <v>0</v>
      </c>
      <c r="S94" s="38">
        <f t="shared" si="30"/>
        <v>0</v>
      </c>
      <c r="T94" s="39"/>
      <c r="U94" s="42">
        <f>IFERROR(__xludf.DUMMYFUNCTION("""COMPUTED_VALUE"""),0.0)</f>
        <v>0</v>
      </c>
    </row>
    <row r="95" ht="37.5" customHeight="1">
      <c r="B95" s="25">
        <v>12.0</v>
      </c>
      <c r="C95" s="49"/>
      <c r="D95" s="50"/>
      <c r="E95" s="51"/>
      <c r="F95" s="52">
        <f>IFERROR(__xludf.DUMMYFUNCTION("""COMPUTED_VALUE"""),0.0)</f>
        <v>0</v>
      </c>
      <c r="G95" s="45"/>
      <c r="H95" s="31">
        <f t="shared" si="24"/>
        <v>0</v>
      </c>
      <c r="I95" s="31">
        <f t="shared" si="25"/>
        <v>0</v>
      </c>
      <c r="J95" s="32" t="str">
        <f t="shared" si="26"/>
        <v/>
      </c>
      <c r="K95" s="32"/>
      <c r="L95" s="33">
        <f t="shared" si="27"/>
        <v>0</v>
      </c>
      <c r="M95" s="32"/>
      <c r="N95" s="32"/>
      <c r="O95" s="34">
        <f t="shared" si="28"/>
        <v>0</v>
      </c>
      <c r="P95" s="44"/>
      <c r="Q95" s="44"/>
      <c r="R95" s="37">
        <f t="shared" si="29"/>
        <v>0</v>
      </c>
      <c r="S95" s="38">
        <f t="shared" si="30"/>
        <v>0</v>
      </c>
      <c r="T95" s="39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51"/>
      <c r="F96" s="52">
        <f>IFERROR(__xludf.DUMMYFUNCTION("""COMPUTED_VALUE"""),0.0)</f>
        <v>0</v>
      </c>
      <c r="G96" s="45"/>
      <c r="H96" s="31">
        <f t="shared" si="24"/>
        <v>0</v>
      </c>
      <c r="I96" s="31">
        <f t="shared" si="25"/>
        <v>0</v>
      </c>
      <c r="J96" s="32" t="str">
        <f t="shared" si="26"/>
        <v/>
      </c>
      <c r="K96" s="32"/>
      <c r="L96" s="33">
        <f t="shared" si="27"/>
        <v>0</v>
      </c>
      <c r="M96" s="32"/>
      <c r="N96" s="32"/>
      <c r="O96" s="34">
        <f t="shared" si="28"/>
        <v>0</v>
      </c>
      <c r="P96" s="44"/>
      <c r="Q96" s="44"/>
      <c r="R96" s="37">
        <f t="shared" si="29"/>
        <v>0</v>
      </c>
      <c r="S96" s="38">
        <f t="shared" si="30"/>
        <v>0</v>
      </c>
      <c r="T96" s="39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51"/>
      <c r="F97" s="52">
        <f>IFERROR(__xludf.DUMMYFUNCTION("""COMPUTED_VALUE"""),0.0)</f>
        <v>0</v>
      </c>
      <c r="G97" s="45"/>
      <c r="H97" s="31">
        <f t="shared" si="24"/>
        <v>0</v>
      </c>
      <c r="I97" s="31">
        <f t="shared" si="25"/>
        <v>0</v>
      </c>
      <c r="J97" s="32" t="str">
        <f t="shared" si="26"/>
        <v/>
      </c>
      <c r="K97" s="32"/>
      <c r="L97" s="33">
        <f t="shared" si="27"/>
        <v>0</v>
      </c>
      <c r="M97" s="32"/>
      <c r="N97" s="32"/>
      <c r="O97" s="34">
        <f t="shared" si="28"/>
        <v>0</v>
      </c>
      <c r="P97" s="44"/>
      <c r="Q97" s="44"/>
      <c r="R97" s="37">
        <f t="shared" si="29"/>
        <v>0</v>
      </c>
      <c r="S97" s="38">
        <f t="shared" si="30"/>
        <v>0</v>
      </c>
      <c r="T97" s="39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0"/>
      <c r="E98" s="51"/>
      <c r="F98" s="52">
        <f>IFERROR(__xludf.DUMMYFUNCTION("""COMPUTED_VALUE"""),0.0)</f>
        <v>0</v>
      </c>
      <c r="G98" s="45"/>
      <c r="H98" s="31">
        <f t="shared" si="24"/>
        <v>0</v>
      </c>
      <c r="I98" s="31">
        <f t="shared" si="25"/>
        <v>0</v>
      </c>
      <c r="J98" s="32" t="str">
        <f t="shared" si="26"/>
        <v/>
      </c>
      <c r="K98" s="32"/>
      <c r="L98" s="33">
        <f t="shared" si="27"/>
        <v>0</v>
      </c>
      <c r="M98" s="32"/>
      <c r="N98" s="32"/>
      <c r="O98" s="34">
        <f t="shared" si="28"/>
        <v>0</v>
      </c>
      <c r="P98" s="44"/>
      <c r="Q98" s="44"/>
      <c r="R98" s="37">
        <f t="shared" si="29"/>
        <v>0</v>
      </c>
      <c r="S98" s="38">
        <f t="shared" si="30"/>
        <v>0</v>
      </c>
      <c r="T98" s="39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4"/>
        <v>0</v>
      </c>
      <c r="I99" s="31">
        <f t="shared" si="25"/>
        <v>0</v>
      </c>
      <c r="J99" s="32" t="str">
        <f t="shared" si="26"/>
        <v/>
      </c>
      <c r="K99" s="32"/>
      <c r="L99" s="33">
        <f t="shared" si="27"/>
        <v>0</v>
      </c>
      <c r="M99" s="32"/>
      <c r="N99" s="32"/>
      <c r="O99" s="34">
        <f t="shared" si="28"/>
        <v>0</v>
      </c>
      <c r="P99" s="44"/>
      <c r="Q99" s="44"/>
      <c r="R99" s="37">
        <f t="shared" si="29"/>
        <v>0</v>
      </c>
      <c r="S99" s="38">
        <f t="shared" si="30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4"/>
        <v>0</v>
      </c>
      <c r="I100" s="31">
        <f t="shared" si="25"/>
        <v>0</v>
      </c>
      <c r="J100" s="32" t="str">
        <f t="shared" si="26"/>
        <v/>
      </c>
      <c r="K100" s="32"/>
      <c r="L100" s="33">
        <f t="shared" si="27"/>
        <v>0</v>
      </c>
      <c r="M100" s="32"/>
      <c r="N100" s="32"/>
      <c r="O100" s="34">
        <f t="shared" si="28"/>
        <v>0</v>
      </c>
      <c r="P100" s="44"/>
      <c r="Q100" s="44"/>
      <c r="R100" s="37">
        <f t="shared" si="29"/>
        <v>0</v>
      </c>
      <c r="S100" s="38">
        <f t="shared" si="30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4"/>
        <v>0</v>
      </c>
      <c r="I101" s="31">
        <f t="shared" si="25"/>
        <v>0</v>
      </c>
      <c r="J101" s="32" t="str">
        <f t="shared" si="26"/>
        <v/>
      </c>
      <c r="K101" s="32"/>
      <c r="L101" s="33">
        <f t="shared" si="27"/>
        <v>0</v>
      </c>
      <c r="M101" s="32"/>
      <c r="N101" s="32"/>
      <c r="O101" s="34">
        <f t="shared" si="28"/>
        <v>0</v>
      </c>
      <c r="P101" s="44"/>
      <c r="Q101" s="44"/>
      <c r="R101" s="37">
        <f t="shared" si="29"/>
        <v>0</v>
      </c>
      <c r="S101" s="38">
        <f t="shared" si="30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4"/>
        <v>0</v>
      </c>
      <c r="I102" s="31">
        <f t="shared" si="25"/>
        <v>0</v>
      </c>
      <c r="J102" s="32" t="str">
        <f t="shared" si="26"/>
        <v/>
      </c>
      <c r="K102" s="32"/>
      <c r="L102" s="33">
        <f t="shared" si="27"/>
        <v>0</v>
      </c>
      <c r="M102" s="32"/>
      <c r="N102" s="32"/>
      <c r="O102" s="34">
        <f t="shared" si="28"/>
        <v>0</v>
      </c>
      <c r="P102" s="44"/>
      <c r="Q102" s="44"/>
      <c r="R102" s="37">
        <f t="shared" si="29"/>
        <v>0</v>
      </c>
      <c r="S102" s="38">
        <f t="shared" si="30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4"/>
        <v>0</v>
      </c>
      <c r="I103" s="31">
        <f t="shared" si="25"/>
        <v>0</v>
      </c>
      <c r="J103" s="32" t="str">
        <f t="shared" si="26"/>
        <v/>
      </c>
      <c r="K103" s="32"/>
      <c r="L103" s="33">
        <f t="shared" si="27"/>
        <v>0</v>
      </c>
      <c r="M103" s="32"/>
      <c r="N103" s="32"/>
      <c r="O103" s="34">
        <f t="shared" si="28"/>
        <v>0</v>
      </c>
      <c r="P103" s="44"/>
      <c r="Q103" s="44"/>
      <c r="R103" s="37">
        <f t="shared" si="29"/>
        <v>0</v>
      </c>
      <c r="S103" s="38">
        <f t="shared" si="30"/>
        <v>0</v>
      </c>
      <c r="T103" s="51"/>
      <c r="U103" s="42">
        <f>IFERROR(__xludf.DUMMYFUNCTION("""COMPUTED_VALUE"""),0.0)</f>
        <v>0</v>
      </c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4"/>
        <v>0</v>
      </c>
      <c r="I104" s="31">
        <f t="shared" si="25"/>
        <v>0</v>
      </c>
      <c r="J104" s="32" t="str">
        <f t="shared" si="26"/>
        <v/>
      </c>
      <c r="K104" s="32"/>
      <c r="L104" s="33">
        <f t="shared" si="27"/>
        <v>0</v>
      </c>
      <c r="M104" s="32"/>
      <c r="N104" s="32"/>
      <c r="O104" s="34">
        <f t="shared" si="28"/>
        <v>0</v>
      </c>
      <c r="P104" s="44"/>
      <c r="Q104" s="44"/>
      <c r="R104" s="37">
        <f t="shared" si="29"/>
        <v>0</v>
      </c>
      <c r="S104" s="38">
        <f t="shared" si="30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4"/>
        <v>0</v>
      </c>
      <c r="I105" s="31">
        <f t="shared" si="25"/>
        <v>0</v>
      </c>
      <c r="J105" s="32" t="str">
        <f t="shared" si="26"/>
        <v/>
      </c>
      <c r="K105" s="32"/>
      <c r="L105" s="33">
        <f t="shared" si="27"/>
        <v>0</v>
      </c>
      <c r="M105" s="32"/>
      <c r="N105" s="32"/>
      <c r="O105" s="34">
        <f t="shared" si="28"/>
        <v>0</v>
      </c>
      <c r="P105" s="44"/>
      <c r="Q105" s="44"/>
      <c r="R105" s="37">
        <f t="shared" si="29"/>
        <v>0</v>
      </c>
      <c r="S105" s="38">
        <f t="shared" si="30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3500000</v>
      </c>
      <c r="T106" s="57"/>
      <c r="U106" s="58"/>
    </row>
    <row r="107" ht="37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IFERROR(__xludf.DUMMYFUNCTION("IMPORTRANGE(""https://docs.google.com/spreadsheets/d/17TnzcKnlaqlAyM_3lnNpgK5CAOPbscCCRVH50X8UulY/edit?usp=sharing"",""JANUARI!B94"")"),"TANGGAL : 26 - 31 JANUARI 2026")</f>
        <v>TANGGAL : 26 - 31 JANUARI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64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IFERROR(__xludf.DUMMYFUNCTION("IMPORTRANGE(""https://docs.google.com/spreadsheets/d/17TnzcKnlaqlAyM_3lnNpgK5CAOPbscCCRVH50X8UulY/edit?usp=sharing"",""JANUARI!B95:D114"")"),"DENI")</f>
        <v>DENI</v>
      </c>
      <c r="D109" s="27" t="str">
        <f>IFERROR(__xludf.DUMMYFUNCTION("""COMPUTED_VALUE"""),"KEPALA")</f>
        <v>KEPALA</v>
      </c>
      <c r="E109" s="28" t="str">
        <f>IFERROR(__xludf.DUMMYFUNCTION("""COMPUTED_VALUE"""),"SHIFT 1")</f>
        <v>SHIFT 1</v>
      </c>
      <c r="F109" s="52">
        <f>IFERROR(__xludf.DUMMYFUNCTION("IMPORTRANGE(""https://docs.google.com/spreadsheets/d/17TnzcKnlaqlAyM_3lnNpgK5CAOPbscCCRVH50X8UulY/edit?usp=sharing"",""JANUARI!K95:K113"")"),6.0)</f>
        <v>6</v>
      </c>
      <c r="G109" s="30">
        <v>110000.0</v>
      </c>
      <c r="H109" s="31">
        <f t="shared" ref="H109:H130" si="31">F109*G109</f>
        <v>660000</v>
      </c>
      <c r="I109" s="31">
        <f t="shared" ref="I109:I130" si="32">F109*10000</f>
        <v>60000</v>
      </c>
      <c r="J109" s="32" t="str">
        <f t="shared" ref="J109:J130" si="33">IF(E109="SHIFT 2",I109,"")</f>
        <v/>
      </c>
      <c r="K109" s="32"/>
      <c r="L109" s="33">
        <f t="shared" ref="L109:L130" si="34">U109*$L$108</f>
        <v>0</v>
      </c>
      <c r="M109" s="32"/>
      <c r="N109" s="32"/>
      <c r="O109" s="34">
        <f t="shared" ref="O109:O130" si="35">SUM(H109:N109)</f>
        <v>720000</v>
      </c>
      <c r="P109" s="36"/>
      <c r="Q109" s="36"/>
      <c r="R109" s="37">
        <f t="shared" ref="R109:R130" si="36">SUM(P109:Q109)</f>
        <v>0</v>
      </c>
      <c r="S109" s="38">
        <f t="shared" ref="S109:S130" si="37">O109-R109</f>
        <v>720000</v>
      </c>
      <c r="T109" s="65" t="str">
        <f>IFERROR(__xludf.DUMMYFUNCTION("IMPORTRANGE(""https://docs.google.com/spreadsheets/d/17TnzcKnlaqlAyM_3lnNpgK5CAOPbscCCRVH50X8UulY/edit?usp=sharing"",""JANUARI!L95:L114"")"),"")</f>
        <v/>
      </c>
      <c r="U109" s="42">
        <f>IFERROR(__xludf.DUMMYFUNCTION("IMPORTRANGE(""https://docs.google.com/spreadsheets/d/17TnzcKnlaqlAyM_3lnNpgK5CAOPbscCCRVH50X8UulY/edit?usp=sharing"",""JANUARI!U95:U114"")"),0.0)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 t="str">
        <f>IFERROR(__xludf.DUMMYFUNCTION("""COMPUTED_VALUE"""),"SHIFT 1")</f>
        <v>SHIFT 1</v>
      </c>
      <c r="F110" s="52">
        <f>IFERROR(__xludf.DUMMYFUNCTION("""COMPUTED_VALUE"""),6.0)</f>
        <v>6</v>
      </c>
      <c r="G110" s="30">
        <v>70000.0</v>
      </c>
      <c r="H110" s="31">
        <f t="shared" si="31"/>
        <v>420000</v>
      </c>
      <c r="I110" s="31">
        <f t="shared" si="32"/>
        <v>60000</v>
      </c>
      <c r="J110" s="32" t="str">
        <f t="shared" si="33"/>
        <v/>
      </c>
      <c r="K110" s="41"/>
      <c r="L110" s="33">
        <f t="shared" si="34"/>
        <v>0</v>
      </c>
      <c r="M110" s="41"/>
      <c r="N110" s="41"/>
      <c r="O110" s="34">
        <f t="shared" si="35"/>
        <v>480000</v>
      </c>
      <c r="P110" s="35"/>
      <c r="Q110" s="36"/>
      <c r="R110" s="37">
        <f t="shared" si="36"/>
        <v>0</v>
      </c>
      <c r="S110" s="38">
        <f t="shared" si="37"/>
        <v>480000</v>
      </c>
      <c r="T110" s="65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 t="str">
        <f>IFERROR(__xludf.DUMMYFUNCTION("""COMPUTED_VALUE"""),"ANDRI")</f>
        <v>ANDRI</v>
      </c>
      <c r="D111" s="27" t="str">
        <f>IFERROR(__xludf.DUMMYFUNCTION("""COMPUTED_VALUE"""),"DESIGN BORDIR")</f>
        <v>DESIGN BORDIR</v>
      </c>
      <c r="E111" s="28" t="str">
        <f>IFERROR(__xludf.DUMMYFUNCTION("""COMPUTED_VALUE"""),"SHIFT 1")</f>
        <v>SHIFT 1</v>
      </c>
      <c r="F111" s="52">
        <f>IFERROR(__xludf.DUMMYFUNCTION("""COMPUTED_VALUE"""),6.0)</f>
        <v>6</v>
      </c>
      <c r="G111" s="30">
        <v>70000.0</v>
      </c>
      <c r="H111" s="31">
        <f t="shared" si="31"/>
        <v>420000</v>
      </c>
      <c r="I111" s="31">
        <f t="shared" si="32"/>
        <v>60000</v>
      </c>
      <c r="J111" s="32" t="str">
        <f t="shared" si="33"/>
        <v/>
      </c>
      <c r="K111" s="41"/>
      <c r="L111" s="33">
        <f t="shared" si="34"/>
        <v>0</v>
      </c>
      <c r="M111" s="41"/>
      <c r="N111" s="41"/>
      <c r="O111" s="34">
        <f t="shared" si="35"/>
        <v>480000</v>
      </c>
      <c r="P111" s="36"/>
      <c r="Q111" s="36"/>
      <c r="R111" s="37">
        <f t="shared" si="36"/>
        <v>0</v>
      </c>
      <c r="S111" s="38">
        <f t="shared" si="37"/>
        <v>480000</v>
      </c>
      <c r="T111" s="65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IFERROR(__xludf.DUMMYFUNCTION("""COMPUTED_VALUE"""),"ADIT")</f>
        <v>ADIT</v>
      </c>
      <c r="D112" s="27" t="str">
        <f>IFERROR(__xludf.DUMMYFUNCTION("""COMPUTED_VALUE"""),"CREATOR")</f>
        <v>CREATOR</v>
      </c>
      <c r="E112" s="28" t="str">
        <f>IFERROR(__xludf.DUMMYFUNCTION("""COMPUTED_VALUE"""),"SHIFT 1")</f>
        <v>SHIFT 1</v>
      </c>
      <c r="F112" s="52">
        <f>IFERROR(__xludf.DUMMYFUNCTION("""COMPUTED_VALUE"""),6.0)</f>
        <v>6</v>
      </c>
      <c r="G112" s="30">
        <v>50000.0</v>
      </c>
      <c r="H112" s="31">
        <f t="shared" si="31"/>
        <v>300000</v>
      </c>
      <c r="I112" s="31">
        <f t="shared" si="32"/>
        <v>60000</v>
      </c>
      <c r="J112" s="32" t="str">
        <f t="shared" si="33"/>
        <v/>
      </c>
      <c r="K112" s="32"/>
      <c r="L112" s="33">
        <f t="shared" si="34"/>
        <v>0</v>
      </c>
      <c r="M112" s="32"/>
      <c r="N112" s="32"/>
      <c r="O112" s="34">
        <f t="shared" si="35"/>
        <v>360000</v>
      </c>
      <c r="P112" s="36"/>
      <c r="Q112" s="36"/>
      <c r="R112" s="37">
        <f t="shared" si="36"/>
        <v>0</v>
      </c>
      <c r="S112" s="38">
        <f t="shared" si="37"/>
        <v>360000</v>
      </c>
      <c r="T112" s="65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IFERROR(__xludf.DUMMYFUNCTION("""COMPUTED_VALUE"""),"EPUL")</f>
        <v>EPUL</v>
      </c>
      <c r="D113" s="27" t="str">
        <f>IFERROR(__xludf.DUMMYFUNCTION("""COMPUTED_VALUE"""),"DESIGN BORDIR")</f>
        <v>DESIGN BORDIR</v>
      </c>
      <c r="E113" s="28" t="str">
        <f>IFERROR(__xludf.DUMMYFUNCTION("""COMPUTED_VALUE"""),"SHIFT 1")</f>
        <v>SHIFT 1</v>
      </c>
      <c r="F113" s="52">
        <f>IFERROR(__xludf.DUMMYFUNCTION("""COMPUTED_VALUE"""),6.0)</f>
        <v>6</v>
      </c>
      <c r="G113" s="30">
        <v>70000.0</v>
      </c>
      <c r="H113" s="31">
        <f t="shared" si="31"/>
        <v>420000</v>
      </c>
      <c r="I113" s="31">
        <f t="shared" si="32"/>
        <v>60000</v>
      </c>
      <c r="J113" s="32" t="str">
        <f t="shared" si="33"/>
        <v/>
      </c>
      <c r="K113" s="32"/>
      <c r="L113" s="33">
        <f t="shared" si="34"/>
        <v>0</v>
      </c>
      <c r="M113" s="32"/>
      <c r="N113" s="32"/>
      <c r="O113" s="34">
        <f t="shared" si="35"/>
        <v>480000</v>
      </c>
      <c r="P113" s="36"/>
      <c r="Q113" s="36"/>
      <c r="R113" s="37">
        <f t="shared" si="36"/>
        <v>0</v>
      </c>
      <c r="S113" s="38">
        <f t="shared" si="37"/>
        <v>480000</v>
      </c>
      <c r="T113" s="65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 t="str">
        <f>IFERROR(__xludf.DUMMYFUNCTION("""COMPUTED_VALUE"""),"SHIFT 1")</f>
        <v>SHIFT 1</v>
      </c>
      <c r="F114" s="52">
        <f>IFERROR(__xludf.DUMMYFUNCTION("""COMPUTED_VALUE"""),6.0)</f>
        <v>6</v>
      </c>
      <c r="G114" s="30">
        <v>70000.0</v>
      </c>
      <c r="H114" s="31">
        <f t="shared" si="31"/>
        <v>420000</v>
      </c>
      <c r="I114" s="31">
        <f t="shared" si="32"/>
        <v>60000</v>
      </c>
      <c r="J114" s="32" t="str">
        <f t="shared" si="33"/>
        <v/>
      </c>
      <c r="K114" s="32"/>
      <c r="L114" s="33">
        <f t="shared" si="34"/>
        <v>0</v>
      </c>
      <c r="M114" s="32"/>
      <c r="N114" s="32"/>
      <c r="O114" s="34">
        <f t="shared" si="35"/>
        <v>480000</v>
      </c>
      <c r="P114" s="36"/>
      <c r="Q114" s="36"/>
      <c r="R114" s="37">
        <f t="shared" si="36"/>
        <v>0</v>
      </c>
      <c r="S114" s="38">
        <f t="shared" si="37"/>
        <v>480000</v>
      </c>
      <c r="T114" s="65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 t="str">
        <f>IFERROR(__xludf.DUMMYFUNCTION("""COMPUTED_VALUE"""),"SHIFT 1")</f>
        <v>SHIFT 1</v>
      </c>
      <c r="F115" s="52">
        <f>IFERROR(__xludf.DUMMYFUNCTION("""COMPUTED_VALUE"""),6.0)</f>
        <v>6</v>
      </c>
      <c r="G115" s="30">
        <v>70000.0</v>
      </c>
      <c r="H115" s="31">
        <f t="shared" si="31"/>
        <v>420000</v>
      </c>
      <c r="I115" s="31">
        <f t="shared" si="32"/>
        <v>60000</v>
      </c>
      <c r="J115" s="32" t="str">
        <f t="shared" si="33"/>
        <v/>
      </c>
      <c r="K115" s="32"/>
      <c r="L115" s="33">
        <f t="shared" si="34"/>
        <v>0</v>
      </c>
      <c r="M115" s="32"/>
      <c r="N115" s="32"/>
      <c r="O115" s="34">
        <f t="shared" si="35"/>
        <v>480000</v>
      </c>
      <c r="P115" s="36"/>
      <c r="Q115" s="36"/>
      <c r="R115" s="37">
        <f t="shared" si="36"/>
        <v>0</v>
      </c>
      <c r="S115" s="38">
        <f t="shared" si="37"/>
        <v>480000</v>
      </c>
      <c r="T115" s="65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 t="str">
        <f>IFERROR(__xludf.DUMMYFUNCTION("""COMPUTED_VALUE"""),"SHIFT 1")</f>
        <v>SHIFT 1</v>
      </c>
      <c r="F116" s="52">
        <f>IFERROR(__xludf.DUMMYFUNCTION("""COMPUTED_VALUE"""),6.0)</f>
        <v>6</v>
      </c>
      <c r="G116" s="30">
        <v>50000.0</v>
      </c>
      <c r="H116" s="31">
        <f t="shared" si="31"/>
        <v>300000</v>
      </c>
      <c r="I116" s="31">
        <f t="shared" si="32"/>
        <v>60000</v>
      </c>
      <c r="J116" s="32" t="str">
        <f t="shared" si="33"/>
        <v/>
      </c>
      <c r="K116" s="32"/>
      <c r="L116" s="33">
        <f t="shared" si="34"/>
        <v>0</v>
      </c>
      <c r="M116" s="32"/>
      <c r="N116" s="32"/>
      <c r="O116" s="34">
        <f t="shared" si="35"/>
        <v>360000</v>
      </c>
      <c r="P116" s="36"/>
      <c r="Q116" s="36"/>
      <c r="R116" s="37">
        <f t="shared" si="36"/>
        <v>0</v>
      </c>
      <c r="S116" s="38">
        <f t="shared" si="37"/>
        <v>360000</v>
      </c>
      <c r="T116" s="65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 t="str">
        <f>IFERROR(__xludf.DUMMYFUNCTION("""COMPUTED_VALUE"""),"SHIFT 1")</f>
        <v>SHIFT 1</v>
      </c>
      <c r="F117" s="52">
        <f>IFERROR(__xludf.DUMMYFUNCTION("""COMPUTED_VALUE"""),3.0)</f>
        <v>3</v>
      </c>
      <c r="G117" s="30">
        <v>50000.0</v>
      </c>
      <c r="H117" s="31">
        <f t="shared" si="31"/>
        <v>150000</v>
      </c>
      <c r="I117" s="31">
        <f t="shared" si="32"/>
        <v>30000</v>
      </c>
      <c r="J117" s="32" t="str">
        <f t="shared" si="33"/>
        <v/>
      </c>
      <c r="K117" s="32"/>
      <c r="L117" s="33">
        <f t="shared" si="34"/>
        <v>0</v>
      </c>
      <c r="M117" s="32"/>
      <c r="N117" s="32"/>
      <c r="O117" s="34">
        <f t="shared" si="35"/>
        <v>180000</v>
      </c>
      <c r="P117" s="44"/>
      <c r="Q117" s="44"/>
      <c r="R117" s="37">
        <f t="shared" si="36"/>
        <v>0</v>
      </c>
      <c r="S117" s="38">
        <f t="shared" si="37"/>
        <v>180000</v>
      </c>
      <c r="T117" s="65"/>
      <c r="U117" s="42">
        <f>IFERROR(__xludf.DUMMYFUNCTION("""COMPUTED_VALUE"""),0.0)</f>
        <v>0</v>
      </c>
    </row>
    <row r="118" ht="37.5" customHeight="1">
      <c r="B118" s="25">
        <v>10.0</v>
      </c>
      <c r="C118" s="49"/>
      <c r="D118" s="50"/>
      <c r="E118" s="51"/>
      <c r="F118" s="52">
        <f>IFERROR(__xludf.DUMMYFUNCTION("""COMPUTED_VALUE"""),0.0)</f>
        <v>0</v>
      </c>
      <c r="G118" s="45"/>
      <c r="H118" s="31">
        <f t="shared" si="31"/>
        <v>0</v>
      </c>
      <c r="I118" s="31">
        <f t="shared" si="32"/>
        <v>0</v>
      </c>
      <c r="J118" s="32" t="str">
        <f t="shared" si="33"/>
        <v/>
      </c>
      <c r="K118" s="32"/>
      <c r="L118" s="33">
        <f t="shared" si="34"/>
        <v>0</v>
      </c>
      <c r="M118" s="32"/>
      <c r="N118" s="32"/>
      <c r="O118" s="34">
        <f t="shared" si="35"/>
        <v>0</v>
      </c>
      <c r="P118" s="44"/>
      <c r="Q118" s="44"/>
      <c r="R118" s="37">
        <f t="shared" si="36"/>
        <v>0</v>
      </c>
      <c r="S118" s="38">
        <f t="shared" si="37"/>
        <v>0</v>
      </c>
      <c r="T118" s="65"/>
      <c r="U118" s="42">
        <f>IFERROR(__xludf.DUMMYFUNCTION("""COMPUTED_VALUE"""),0.0)</f>
        <v>0</v>
      </c>
    </row>
    <row r="119" ht="37.5" customHeight="1">
      <c r="B119" s="25">
        <v>11.0</v>
      </c>
      <c r="C119" s="49"/>
      <c r="D119" s="50"/>
      <c r="E119" s="51"/>
      <c r="F119" s="52">
        <f>IFERROR(__xludf.DUMMYFUNCTION("""COMPUTED_VALUE"""),0.0)</f>
        <v>0</v>
      </c>
      <c r="G119" s="45"/>
      <c r="H119" s="31">
        <f t="shared" si="31"/>
        <v>0</v>
      </c>
      <c r="I119" s="31">
        <f t="shared" si="32"/>
        <v>0</v>
      </c>
      <c r="J119" s="32" t="str">
        <f t="shared" si="33"/>
        <v/>
      </c>
      <c r="K119" s="32"/>
      <c r="L119" s="33">
        <f t="shared" si="34"/>
        <v>0</v>
      </c>
      <c r="M119" s="32"/>
      <c r="N119" s="32"/>
      <c r="O119" s="34">
        <f t="shared" si="35"/>
        <v>0</v>
      </c>
      <c r="P119" s="44"/>
      <c r="Q119" s="44"/>
      <c r="R119" s="37">
        <f t="shared" si="36"/>
        <v>0</v>
      </c>
      <c r="S119" s="38">
        <f t="shared" si="37"/>
        <v>0</v>
      </c>
      <c r="T119" s="65"/>
      <c r="U119" s="42">
        <f>IFERROR(__xludf.DUMMYFUNCTION("""COMPUTED_VALUE"""),0.0)</f>
        <v>0</v>
      </c>
    </row>
    <row r="120" ht="37.5" customHeight="1">
      <c r="B120" s="25">
        <v>12.0</v>
      </c>
      <c r="C120" s="26"/>
      <c r="D120" s="27"/>
      <c r="E120" s="28"/>
      <c r="F120" s="52">
        <f>IFERROR(__xludf.DUMMYFUNCTION("""COMPUTED_VALUE"""),0.0)</f>
        <v>0</v>
      </c>
      <c r="G120" s="30"/>
      <c r="H120" s="31">
        <f t="shared" si="31"/>
        <v>0</v>
      </c>
      <c r="I120" s="31">
        <f t="shared" si="32"/>
        <v>0</v>
      </c>
      <c r="J120" s="32" t="str">
        <f t="shared" si="33"/>
        <v/>
      </c>
      <c r="K120" s="32"/>
      <c r="L120" s="33">
        <f t="shared" si="34"/>
        <v>0</v>
      </c>
      <c r="M120" s="32"/>
      <c r="N120" s="32"/>
      <c r="O120" s="34">
        <f t="shared" si="35"/>
        <v>0</v>
      </c>
      <c r="P120" s="44"/>
      <c r="Q120" s="44"/>
      <c r="R120" s="37">
        <f t="shared" si="36"/>
        <v>0</v>
      </c>
      <c r="S120" s="38">
        <f t="shared" si="37"/>
        <v>0</v>
      </c>
      <c r="T120" s="65"/>
      <c r="U120" s="42">
        <f>IFERROR(__xludf.DUMMYFUNCTION("""COMPUTED_VALUE"""),0.0)</f>
        <v>0</v>
      </c>
    </row>
    <row r="121" ht="37.5" customHeight="1">
      <c r="B121" s="25">
        <v>13.0</v>
      </c>
      <c r="C121" s="49"/>
      <c r="D121" s="50"/>
      <c r="E121" s="51"/>
      <c r="F121" s="52">
        <f>IFERROR(__xludf.DUMMYFUNCTION("""COMPUTED_VALUE"""),0.0)</f>
        <v>0</v>
      </c>
      <c r="G121" s="45"/>
      <c r="H121" s="31">
        <f t="shared" si="31"/>
        <v>0</v>
      </c>
      <c r="I121" s="31">
        <f t="shared" si="32"/>
        <v>0</v>
      </c>
      <c r="J121" s="32" t="str">
        <f t="shared" si="33"/>
        <v/>
      </c>
      <c r="K121" s="32"/>
      <c r="L121" s="33">
        <f t="shared" si="34"/>
        <v>0</v>
      </c>
      <c r="M121" s="32"/>
      <c r="N121" s="32"/>
      <c r="O121" s="34">
        <f t="shared" si="35"/>
        <v>0</v>
      </c>
      <c r="P121" s="44"/>
      <c r="Q121" s="44"/>
      <c r="R121" s="37">
        <f t="shared" si="36"/>
        <v>0</v>
      </c>
      <c r="S121" s="38">
        <f t="shared" si="37"/>
        <v>0</v>
      </c>
      <c r="T121" s="65"/>
      <c r="U121" s="42">
        <f>IFERROR(__xludf.DUMMYFUNCTION("""COMPUTED_VALUE"""),0.0)</f>
        <v>0</v>
      </c>
    </row>
    <row r="122" ht="37.5" customHeight="1">
      <c r="B122" s="25">
        <v>14.0</v>
      </c>
      <c r="C122" s="49"/>
      <c r="D122" s="50"/>
      <c r="E122" s="51"/>
      <c r="F122" s="52">
        <f>IFERROR(__xludf.DUMMYFUNCTION("""COMPUTED_VALUE"""),0.0)</f>
        <v>0</v>
      </c>
      <c r="G122" s="45"/>
      <c r="H122" s="31">
        <f t="shared" si="31"/>
        <v>0</v>
      </c>
      <c r="I122" s="31">
        <f t="shared" si="32"/>
        <v>0</v>
      </c>
      <c r="J122" s="32" t="str">
        <f t="shared" si="33"/>
        <v/>
      </c>
      <c r="K122" s="32"/>
      <c r="L122" s="33">
        <f t="shared" si="34"/>
        <v>0</v>
      </c>
      <c r="M122" s="32"/>
      <c r="N122" s="32"/>
      <c r="O122" s="34">
        <f t="shared" si="35"/>
        <v>0</v>
      </c>
      <c r="P122" s="44"/>
      <c r="Q122" s="44"/>
      <c r="R122" s="37">
        <f t="shared" si="36"/>
        <v>0</v>
      </c>
      <c r="S122" s="38">
        <f t="shared" si="37"/>
        <v>0</v>
      </c>
      <c r="T122" s="65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0"/>
      <c r="E123" s="51"/>
      <c r="F123" s="52">
        <f>IFERROR(__xludf.DUMMYFUNCTION("""COMPUTED_VALUE"""),0.0)</f>
        <v>0</v>
      </c>
      <c r="G123" s="45"/>
      <c r="H123" s="31">
        <f t="shared" si="31"/>
        <v>0</v>
      </c>
      <c r="I123" s="31">
        <f t="shared" si="32"/>
        <v>0</v>
      </c>
      <c r="J123" s="32" t="str">
        <f t="shared" si="33"/>
        <v/>
      </c>
      <c r="K123" s="32"/>
      <c r="L123" s="33">
        <f t="shared" si="34"/>
        <v>0</v>
      </c>
      <c r="M123" s="32"/>
      <c r="N123" s="32"/>
      <c r="O123" s="34">
        <f t="shared" si="35"/>
        <v>0</v>
      </c>
      <c r="P123" s="44"/>
      <c r="Q123" s="44"/>
      <c r="R123" s="37">
        <f t="shared" si="36"/>
        <v>0</v>
      </c>
      <c r="S123" s="38">
        <f t="shared" si="37"/>
        <v>0</v>
      </c>
      <c r="T123" s="39"/>
      <c r="U123" s="42">
        <f>IFERROR(__xludf.DUMMYFUNCTION("""COMPUTED_VALUE"""),0.0)</f>
        <v>0</v>
      </c>
    </row>
    <row r="124" ht="37.5" customHeight="1">
      <c r="B124" s="25">
        <v>16.0</v>
      </c>
      <c r="C124" s="49"/>
      <c r="D124" s="50"/>
      <c r="E124" s="51"/>
      <c r="F124" s="52">
        <f>IFERROR(__xludf.DUMMYFUNCTION("""COMPUTED_VALUE"""),0.0)</f>
        <v>0</v>
      </c>
      <c r="G124" s="45"/>
      <c r="H124" s="31">
        <f t="shared" si="31"/>
        <v>0</v>
      </c>
      <c r="I124" s="31">
        <f t="shared" si="32"/>
        <v>0</v>
      </c>
      <c r="J124" s="32" t="str">
        <f t="shared" si="33"/>
        <v/>
      </c>
      <c r="K124" s="32"/>
      <c r="L124" s="33">
        <f t="shared" si="34"/>
        <v>0</v>
      </c>
      <c r="M124" s="32"/>
      <c r="N124" s="32"/>
      <c r="O124" s="34">
        <f t="shared" si="35"/>
        <v>0</v>
      </c>
      <c r="P124" s="44"/>
      <c r="Q124" s="44"/>
      <c r="R124" s="37">
        <f t="shared" si="36"/>
        <v>0</v>
      </c>
      <c r="S124" s="38">
        <f t="shared" si="37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49"/>
      <c r="D125" s="50"/>
      <c r="E125" s="51"/>
      <c r="F125" s="52">
        <f>IFERROR(__xludf.DUMMYFUNCTION("""COMPUTED_VALUE"""),0.0)</f>
        <v>0</v>
      </c>
      <c r="G125" s="45"/>
      <c r="H125" s="31">
        <f t="shared" si="31"/>
        <v>0</v>
      </c>
      <c r="I125" s="31">
        <f t="shared" si="32"/>
        <v>0</v>
      </c>
      <c r="J125" s="32" t="str">
        <f t="shared" si="33"/>
        <v/>
      </c>
      <c r="K125" s="32"/>
      <c r="L125" s="33">
        <f t="shared" si="34"/>
        <v>0</v>
      </c>
      <c r="M125" s="32"/>
      <c r="N125" s="32"/>
      <c r="O125" s="34">
        <f t="shared" si="35"/>
        <v>0</v>
      </c>
      <c r="P125" s="44"/>
      <c r="Q125" s="44"/>
      <c r="R125" s="37">
        <f t="shared" si="36"/>
        <v>0</v>
      </c>
      <c r="S125" s="38">
        <f t="shared" si="37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1"/>
        <v>0</v>
      </c>
      <c r="I126" s="31">
        <f t="shared" si="32"/>
        <v>0</v>
      </c>
      <c r="J126" s="32" t="str">
        <f t="shared" si="33"/>
        <v/>
      </c>
      <c r="K126" s="66"/>
      <c r="L126" s="33">
        <f t="shared" si="34"/>
        <v>0</v>
      </c>
      <c r="M126" s="32"/>
      <c r="N126" s="32"/>
      <c r="O126" s="34">
        <f t="shared" si="35"/>
        <v>0</v>
      </c>
      <c r="P126" s="44"/>
      <c r="Q126" s="44"/>
      <c r="R126" s="37">
        <f t="shared" si="36"/>
        <v>0</v>
      </c>
      <c r="S126" s="38">
        <f t="shared" si="37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1"/>
        <v>0</v>
      </c>
      <c r="I127" s="31">
        <f t="shared" si="32"/>
        <v>0</v>
      </c>
      <c r="J127" s="32" t="str">
        <f t="shared" si="33"/>
        <v/>
      </c>
      <c r="K127" s="32"/>
      <c r="L127" s="33">
        <f t="shared" si="34"/>
        <v>0</v>
      </c>
      <c r="M127" s="32"/>
      <c r="N127" s="32"/>
      <c r="O127" s="34">
        <f t="shared" si="35"/>
        <v>0</v>
      </c>
      <c r="P127" s="44"/>
      <c r="Q127" s="44"/>
      <c r="R127" s="37">
        <f t="shared" si="36"/>
        <v>0</v>
      </c>
      <c r="S127" s="38">
        <f t="shared" si="37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1"/>
        <v>0</v>
      </c>
      <c r="I128" s="31">
        <f t="shared" si="32"/>
        <v>0</v>
      </c>
      <c r="J128" s="32" t="str">
        <f t="shared" si="33"/>
        <v/>
      </c>
      <c r="K128" s="32"/>
      <c r="L128" s="33">
        <f t="shared" si="34"/>
        <v>0</v>
      </c>
      <c r="M128" s="32"/>
      <c r="N128" s="32"/>
      <c r="O128" s="34">
        <f t="shared" si="35"/>
        <v>0</v>
      </c>
      <c r="P128" s="44"/>
      <c r="Q128" s="44"/>
      <c r="R128" s="37">
        <f t="shared" si="36"/>
        <v>0</v>
      </c>
      <c r="S128" s="38">
        <f t="shared" si="37"/>
        <v>0</v>
      </c>
      <c r="T128" s="51"/>
      <c r="U128" s="42">
        <f>IFERROR(__xludf.DUMMYFUNCTION("""COMPUTED_VALUE"""),0.0)</f>
        <v>0</v>
      </c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1"/>
        <v>0</v>
      </c>
      <c r="I129" s="31">
        <f t="shared" si="32"/>
        <v>0</v>
      </c>
      <c r="J129" s="32" t="str">
        <f t="shared" si="33"/>
        <v/>
      </c>
      <c r="K129" s="32"/>
      <c r="L129" s="33">
        <f t="shared" si="34"/>
        <v>0</v>
      </c>
      <c r="M129" s="32"/>
      <c r="N129" s="32"/>
      <c r="O129" s="34">
        <f t="shared" si="35"/>
        <v>0</v>
      </c>
      <c r="P129" s="44"/>
      <c r="Q129" s="44"/>
      <c r="R129" s="37">
        <f t="shared" si="36"/>
        <v>0</v>
      </c>
      <c r="S129" s="38">
        <f t="shared" si="37"/>
        <v>0</v>
      </c>
      <c r="T129" s="51"/>
      <c r="U129" s="42"/>
    </row>
    <row r="130" ht="37.5" customHeight="1">
      <c r="B130" s="25">
        <v>22.0</v>
      </c>
      <c r="C130" s="49"/>
      <c r="D130" s="51"/>
      <c r="E130" s="51"/>
      <c r="F130" s="42"/>
      <c r="G130" s="53"/>
      <c r="H130" s="31">
        <f t="shared" si="31"/>
        <v>0</v>
      </c>
      <c r="I130" s="31">
        <f t="shared" si="32"/>
        <v>0</v>
      </c>
      <c r="J130" s="32" t="str">
        <f t="shared" si="33"/>
        <v/>
      </c>
      <c r="K130" s="32"/>
      <c r="L130" s="33">
        <f t="shared" si="34"/>
        <v>0</v>
      </c>
      <c r="M130" s="32"/>
      <c r="N130" s="32"/>
      <c r="O130" s="34">
        <f t="shared" si="35"/>
        <v>0</v>
      </c>
      <c r="P130" s="44"/>
      <c r="Q130" s="44"/>
      <c r="R130" s="37">
        <f t="shared" si="36"/>
        <v>0</v>
      </c>
      <c r="S130" s="38">
        <f t="shared" si="37"/>
        <v>0</v>
      </c>
      <c r="T130" s="51"/>
      <c r="U130" s="42"/>
    </row>
    <row r="131" ht="37.5" customHeight="1">
      <c r="B131" s="54"/>
      <c r="F131" s="55" t="s">
        <v>21</v>
      </c>
      <c r="S131" s="56">
        <f>SUM(S109:S130)</f>
        <v>4020000</v>
      </c>
      <c r="T131" s="57"/>
      <c r="U131" s="58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>
      <c r="B133" s="67" t="s">
        <v>21</v>
      </c>
      <c r="F133" s="68">
        <f>S31+S56+S81+S106+S131</f>
        <v>17700000</v>
      </c>
      <c r="T133" s="69"/>
    </row>
  </sheetData>
  <mergeCells count="25">
    <mergeCell ref="B2:E3"/>
    <mergeCell ref="F2:U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29.38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20.25"/>
    <col customWidth="1" min="20" max="20" width="56.88"/>
    <col customWidth="1" min="21" max="21" width="21.38"/>
  </cols>
  <sheetData>
    <row r="1">
      <c r="A1" s="70">
        <v>2.0</v>
      </c>
    </row>
    <row r="2" ht="27.0" customHeight="1">
      <c r="B2" s="1">
        <f>IFERROR(__xludf.DUMMYFUNCTION("IMPORTRANGE(""https://docs.google.com/spreadsheets/d/17TnzcKnlaqlAyM_3lnNpgK5CAOPbscCCRVH50X8UulY/edit?usp=sharing"",""FEBRUARI!B2"")"),46054.0)</f>
        <v>46054</v>
      </c>
      <c r="C2" s="2"/>
      <c r="D2" s="2"/>
      <c r="E2" s="3"/>
      <c r="F2" s="4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71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72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IFERROR(__xludf.DUMMYFUNCTION("IMPORTRANGE(""https://docs.google.com/spreadsheets/d/17TnzcKnlaqlAyM_3lnNpgK5CAOPbscCCRVH50X8UulY/edit?usp=sharing"",""FEBRUARI!B6"")"),"TANGGAL : 2-7 FEBRUARI 2026")</f>
        <v>TANGGAL : 2-7 FEBRUARI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IFERROR(__xludf.DUMMYFUNCTION("IMPORTRANGE(""https://docs.google.com/spreadsheets/d/17TnzcKnlaqlAyM_3lnNpgK5CAOPbscCCRVH50X8UulY/edit?usp=sharing"",""FEBRUARI!B7:D26"")"),"DENI")</f>
        <v>DENI</v>
      </c>
      <c r="D9" s="27" t="str">
        <f>IFERROR(__xludf.DUMMYFUNCTION("""COMPUTED_VALUE"""),"KEPALA")</f>
        <v>KEPALA</v>
      </c>
      <c r="E9" s="28" t="str">
        <f>IFERROR(__xludf.DUMMYFUNCTION("""COMPUTED_VALUE"""),"SHIFT 1")</f>
        <v>SHIFT 1</v>
      </c>
      <c r="F9" s="52">
        <f>IFERROR(__xludf.DUMMYFUNCTION("IMPORTRANGE(""https://docs.google.com/spreadsheets/d/1Aud93BfAdhkWf584eKi6yqKFYhpUXTj-qoDfXlGtG84/edit?usp=sharing"",""FEBRUARI!K7:K25"")"),6.0)</f>
        <v>6</v>
      </c>
      <c r="G9" s="30">
        <v>110000.0</v>
      </c>
      <c r="H9" s="31">
        <f t="shared" ref="H9:H30" si="1">F9*G9</f>
        <v>660000</v>
      </c>
      <c r="I9" s="31">
        <f t="shared" ref="I9:I30" si="2">F9*10000</f>
        <v>60000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720000</v>
      </c>
      <c r="P9" s="44"/>
      <c r="Q9" s="44"/>
      <c r="R9" s="37">
        <f t="shared" ref="R9:R30" si="6">SUM(P9:Q9)</f>
        <v>0</v>
      </c>
      <c r="S9" s="38">
        <f t="shared" ref="S9:S30" si="7">O9-R9</f>
        <v>720000</v>
      </c>
      <c r="T9" s="73" t="str">
        <f>IFERROR(__xludf.DUMMYFUNCTION("IMPORTRANGE(""https://docs.google.com/spreadsheets/d/17TnzcKnlaqlAyM_3lnNpgK5CAOPbscCCRVH50X8UulY/edit?usp=sharing"",""FEBRUARI!L7:L26"")"),"")</f>
        <v/>
      </c>
      <c r="U9" s="42">
        <f>IFERROR(__xludf.DUMMYFUNCTION("IMPORTRANGE(""https://docs.google.com/spreadsheets/d/17TnzcKnlaqlAyM_3lnNpgK5CAOPbscCCRVH50X8UulY/edit?usp=sharing"",""FEBRUARI!U7:U26"")"),0.0)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 t="str">
        <f>IFERROR(__xludf.DUMMYFUNCTION("""COMPUTED_VALUE"""),"SHIFT 1")</f>
        <v>SHIFT 1</v>
      </c>
      <c r="F10" s="52">
        <f>IFERROR(__xludf.DUMMYFUNCTION("""COMPUTED_VALUE"""),6.0)</f>
        <v>6</v>
      </c>
      <c r="G10" s="30">
        <v>70000.0</v>
      </c>
      <c r="H10" s="31">
        <f t="shared" si="1"/>
        <v>420000</v>
      </c>
      <c r="I10" s="31">
        <f t="shared" si="2"/>
        <v>60000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480000</v>
      </c>
      <c r="P10" s="74"/>
      <c r="Q10" s="74"/>
      <c r="R10" s="37">
        <f t="shared" si="6"/>
        <v>0</v>
      </c>
      <c r="S10" s="38">
        <f t="shared" si="7"/>
        <v>480000</v>
      </c>
      <c r="T10" s="2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 t="str">
        <f>IFERROR(__xludf.DUMMYFUNCTION("""COMPUTED_VALUE"""),"ANDRI")</f>
        <v>ANDRI</v>
      </c>
      <c r="D11" s="27" t="str">
        <f>IFERROR(__xludf.DUMMYFUNCTION("""COMPUTED_VALUE"""),"DESIGN BORDIR")</f>
        <v>DESIGN BORDIR</v>
      </c>
      <c r="E11" s="28" t="str">
        <f>IFERROR(__xludf.DUMMYFUNCTION("""COMPUTED_VALUE"""),"SHIFT 1")</f>
        <v>SHIFT 1</v>
      </c>
      <c r="F11" s="52">
        <f>IFERROR(__xludf.DUMMYFUNCTION("""COMPUTED_VALUE"""),6.0)</f>
        <v>6</v>
      </c>
      <c r="G11" s="30">
        <v>70000.0</v>
      </c>
      <c r="H11" s="31">
        <f t="shared" si="1"/>
        <v>420000</v>
      </c>
      <c r="I11" s="31">
        <f t="shared" si="2"/>
        <v>60000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480000</v>
      </c>
      <c r="P11" s="74"/>
      <c r="Q11" s="74"/>
      <c r="R11" s="37">
        <f t="shared" si="6"/>
        <v>0</v>
      </c>
      <c r="S11" s="38">
        <f t="shared" si="7"/>
        <v>480000</v>
      </c>
      <c r="T11" s="2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IFERROR(__xludf.DUMMYFUNCTION("""COMPUTED_VALUE"""),"ADIT")</f>
        <v>ADIT</v>
      </c>
      <c r="D12" s="27" t="str">
        <f>IFERROR(__xludf.DUMMYFUNCTION("""COMPUTED_VALUE"""),"CREATOR")</f>
        <v>CREATOR</v>
      </c>
      <c r="E12" s="28" t="str">
        <f>IFERROR(__xludf.DUMMYFUNCTION("""COMPUTED_VALUE"""),"SHIFT 1")</f>
        <v>SHIFT 1</v>
      </c>
      <c r="F12" s="52">
        <f>IFERROR(__xludf.DUMMYFUNCTION("""COMPUTED_VALUE"""),4.0)</f>
        <v>4</v>
      </c>
      <c r="G12" s="30">
        <v>50000.0</v>
      </c>
      <c r="H12" s="31">
        <f t="shared" si="1"/>
        <v>200000</v>
      </c>
      <c r="I12" s="31">
        <f t="shared" si="2"/>
        <v>40000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240000</v>
      </c>
      <c r="P12" s="74"/>
      <c r="Q12" s="74"/>
      <c r="R12" s="37">
        <f t="shared" si="6"/>
        <v>0</v>
      </c>
      <c r="S12" s="38">
        <f t="shared" si="7"/>
        <v>240000</v>
      </c>
      <c r="T12" s="29"/>
      <c r="U12" s="42">
        <f>IFERROR(__xludf.DUMMYFUNCTION("""COMPUTED_VALUE"""),0.0)</f>
        <v>0</v>
      </c>
      <c r="V12" s="24"/>
      <c r="W12" s="24"/>
    </row>
    <row r="13" ht="37.5" customHeight="1">
      <c r="A13" s="24"/>
      <c r="B13" s="25">
        <v>5.0</v>
      </c>
      <c r="C13" s="26" t="str">
        <f>IFERROR(__xludf.DUMMYFUNCTION("""COMPUTED_VALUE"""),"EPUL")</f>
        <v>EPUL</v>
      </c>
      <c r="D13" s="27" t="str">
        <f>IFERROR(__xludf.DUMMYFUNCTION("""COMPUTED_VALUE"""),"DESIGN BORDIR")</f>
        <v>DESIGN BORDIR</v>
      </c>
      <c r="E13" s="28" t="str">
        <f>IFERROR(__xludf.DUMMYFUNCTION("""COMPUTED_VALUE"""),"SHIFT 1")</f>
        <v>SHIFT 1</v>
      </c>
      <c r="F13" s="52">
        <f>IFERROR(__xludf.DUMMYFUNCTION("""COMPUTED_VALUE"""),6.0)</f>
        <v>6</v>
      </c>
      <c r="G13" s="30">
        <v>70000.0</v>
      </c>
      <c r="H13" s="31">
        <f t="shared" si="1"/>
        <v>420000</v>
      </c>
      <c r="I13" s="31">
        <f t="shared" si="2"/>
        <v>60000</v>
      </c>
      <c r="J13" s="32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480000</v>
      </c>
      <c r="P13" s="75">
        <v>40000.0</v>
      </c>
      <c r="Q13" s="74"/>
      <c r="R13" s="37">
        <f t="shared" si="6"/>
        <v>40000</v>
      </c>
      <c r="S13" s="38">
        <f t="shared" si="7"/>
        <v>440000</v>
      </c>
      <c r="T13" s="29" t="str">
        <f>IFERROR(__xludf.DUMMYFUNCTION("""COMPUTED_VALUE"""),"hari senin setengah hari")</f>
        <v>hari senin setengah hari</v>
      </c>
      <c r="U13" s="42">
        <f>IFERROR(__xludf.DUMMYFUNCTION("""COMPUTED_VALUE"""),0.0)</f>
        <v>0</v>
      </c>
      <c r="V13" s="24"/>
      <c r="W13" s="24"/>
    </row>
    <row r="14" ht="37.5" customHeight="1">
      <c r="A14" s="24"/>
      <c r="B14" s="25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 t="str">
        <f>IFERROR(__xludf.DUMMYFUNCTION("""COMPUTED_VALUE"""),"SHIFT 1")</f>
        <v>SHIFT 1</v>
      </c>
      <c r="F14" s="52">
        <f>IFERROR(__xludf.DUMMYFUNCTION("""COMPUTED_VALUE"""),6.0)</f>
        <v>6</v>
      </c>
      <c r="G14" s="30">
        <v>70000.0</v>
      </c>
      <c r="H14" s="31">
        <f t="shared" si="1"/>
        <v>420000</v>
      </c>
      <c r="I14" s="31">
        <f t="shared" si="2"/>
        <v>60000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480000</v>
      </c>
      <c r="P14" s="74"/>
      <c r="Q14" s="74"/>
      <c r="R14" s="37">
        <f t="shared" si="6"/>
        <v>0</v>
      </c>
      <c r="S14" s="38">
        <f t="shared" si="7"/>
        <v>480000</v>
      </c>
      <c r="T14" s="29"/>
      <c r="U14" s="42">
        <f>IFERROR(__xludf.DUMMYFUNCTION("""COMPUTED_VALUE"""),0.0)</f>
        <v>0</v>
      </c>
      <c r="V14" s="24"/>
      <c r="W14" s="24"/>
    </row>
    <row r="15" ht="37.5" customHeight="1">
      <c r="A15" s="24"/>
      <c r="B15" s="25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 t="str">
        <f>IFERROR(__xludf.DUMMYFUNCTION("""COMPUTED_VALUE"""),"SHIFT 1")</f>
        <v>SHIFT 1</v>
      </c>
      <c r="F15" s="52">
        <f>IFERROR(__xludf.DUMMYFUNCTION("""COMPUTED_VALUE"""),6.0)</f>
        <v>6</v>
      </c>
      <c r="G15" s="30">
        <v>70000.0</v>
      </c>
      <c r="H15" s="31">
        <f t="shared" si="1"/>
        <v>420000</v>
      </c>
      <c r="I15" s="31">
        <f t="shared" si="2"/>
        <v>60000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480000</v>
      </c>
      <c r="P15" s="75">
        <v>40000.0</v>
      </c>
      <c r="Q15" s="74"/>
      <c r="R15" s="37">
        <f t="shared" si="6"/>
        <v>40000</v>
      </c>
      <c r="S15" s="38">
        <f t="shared" si="7"/>
        <v>440000</v>
      </c>
      <c r="T15" s="29" t="str">
        <f>IFERROR(__xludf.DUMMYFUNCTION("""COMPUTED_VALUE"""),"hari rabu sengah hari")</f>
        <v>hari rabu sengah hari</v>
      </c>
      <c r="U15" s="42">
        <f>IFERROR(__xludf.DUMMYFUNCTION("""COMPUTED_VALUE"""),0.0)</f>
        <v>0</v>
      </c>
      <c r="V15" s="24"/>
      <c r="W15" s="24"/>
    </row>
    <row r="16" ht="37.5" customHeight="1">
      <c r="A16" s="24"/>
      <c r="B16" s="25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 t="str">
        <f>IFERROR(__xludf.DUMMYFUNCTION("""COMPUTED_VALUE"""),"SHIFT 1")</f>
        <v>SHIFT 1</v>
      </c>
      <c r="F16" s="52">
        <f>IFERROR(__xludf.DUMMYFUNCTION("""COMPUTED_VALUE"""),6.0)</f>
        <v>6</v>
      </c>
      <c r="G16" s="30">
        <v>50000.0</v>
      </c>
      <c r="H16" s="31">
        <f t="shared" si="1"/>
        <v>300000</v>
      </c>
      <c r="I16" s="31">
        <f t="shared" si="2"/>
        <v>60000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360000</v>
      </c>
      <c r="P16" s="74"/>
      <c r="Q16" s="74"/>
      <c r="R16" s="37">
        <f t="shared" si="6"/>
        <v>0</v>
      </c>
      <c r="S16" s="38">
        <f t="shared" si="7"/>
        <v>360000</v>
      </c>
      <c r="T16" s="29"/>
      <c r="U16" s="42">
        <f>IFERROR(__xludf.DUMMYFUNCTION("""COMPUTED_VALUE"""),0.0)</f>
        <v>0</v>
      </c>
      <c r="V16" s="24"/>
      <c r="W16" s="24"/>
    </row>
    <row r="17" ht="37.5" customHeight="1">
      <c r="A17" s="24"/>
      <c r="B17" s="25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28" t="str">
        <f>IFERROR(__xludf.DUMMYFUNCTION("""COMPUTED_VALUE"""),"SHIFT 1")</f>
        <v>SHIFT 1</v>
      </c>
      <c r="F17" s="52">
        <f>IFERROR(__xludf.DUMMYFUNCTION("""COMPUTED_VALUE"""),6.0)</f>
        <v>6</v>
      </c>
      <c r="G17" s="30">
        <v>50000.0</v>
      </c>
      <c r="H17" s="31">
        <f t="shared" si="1"/>
        <v>300000</v>
      </c>
      <c r="I17" s="31">
        <f t="shared" si="2"/>
        <v>60000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360000</v>
      </c>
      <c r="P17" s="74"/>
      <c r="Q17" s="74"/>
      <c r="R17" s="37">
        <f t="shared" si="6"/>
        <v>0</v>
      </c>
      <c r="S17" s="38">
        <f t="shared" si="7"/>
        <v>360000</v>
      </c>
      <c r="T17" s="29"/>
      <c r="U17" s="42">
        <f>IFERROR(__xludf.DUMMYFUNCTION("""COMPUTED_VALUE"""),0.0)</f>
        <v>0</v>
      </c>
      <c r="V17" s="24"/>
      <c r="W17" s="24"/>
    </row>
    <row r="18" ht="37.5" customHeight="1">
      <c r="A18" s="24"/>
      <c r="B18" s="25">
        <v>10.0</v>
      </c>
      <c r="C18" s="49"/>
      <c r="D18" s="50"/>
      <c r="E18" s="51"/>
      <c r="F18" s="52">
        <f>IFERROR(__xludf.DUMMYFUNCTION("""COMPUTED_VALUE"""),0.0)</f>
        <v>0</v>
      </c>
      <c r="G18" s="45"/>
      <c r="H18" s="31">
        <f t="shared" si="1"/>
        <v>0</v>
      </c>
      <c r="I18" s="31">
        <f t="shared" si="2"/>
        <v>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0</v>
      </c>
      <c r="P18" s="74"/>
      <c r="Q18" s="74"/>
      <c r="R18" s="37">
        <f t="shared" si="6"/>
        <v>0</v>
      </c>
      <c r="S18" s="38">
        <f t="shared" si="7"/>
        <v>0</v>
      </c>
      <c r="T18" s="29"/>
      <c r="U18" s="42">
        <f>IFERROR(__xludf.DUMMYFUNCTION("""COMPUTED_VALUE"""),0.0)</f>
        <v>0</v>
      </c>
      <c r="V18" s="2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74"/>
      <c r="Q19" s="74"/>
      <c r="R19" s="37">
        <f t="shared" si="6"/>
        <v>0</v>
      </c>
      <c r="S19" s="38">
        <f t="shared" si="7"/>
        <v>0</v>
      </c>
      <c r="T19" s="29"/>
      <c r="U19" s="42">
        <f>IFERROR(__xludf.DUMMYFUNCTION("""COMPUTED_VALUE"""),0.0)</f>
        <v>0</v>
      </c>
      <c r="V19" s="24"/>
      <c r="W19" s="24"/>
    </row>
    <row r="20" ht="37.5" customHeight="1">
      <c r="A20" s="24"/>
      <c r="B20" s="25">
        <v>12.0</v>
      </c>
      <c r="C20" s="49"/>
      <c r="D20" s="50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44"/>
      <c r="Q20" s="44"/>
      <c r="R20" s="37">
        <f t="shared" si="6"/>
        <v>0</v>
      </c>
      <c r="S20" s="38">
        <f t="shared" si="7"/>
        <v>0</v>
      </c>
      <c r="T20" s="73"/>
      <c r="U20" s="42">
        <f>IFERROR(__xludf.DUMMYFUNCTION("""COMPUTED_VALUE"""),0.0)</f>
        <v>0</v>
      </c>
      <c r="V20" s="2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 t="str">
        <f t="shared" ref="J21:J22" si="8">IF(E21="SHIFT 2",I21,"")</f>
        <v/>
      </c>
      <c r="K21" s="32"/>
      <c r="L21" s="33">
        <f t="shared" si="4"/>
        <v>0</v>
      </c>
      <c r="M21" s="32"/>
      <c r="N21" s="32"/>
      <c r="O21" s="34">
        <f t="shared" si="5"/>
        <v>0</v>
      </c>
      <c r="P21" s="74"/>
      <c r="Q21" s="74"/>
      <c r="R21" s="37">
        <f t="shared" si="6"/>
        <v>0</v>
      </c>
      <c r="S21" s="38">
        <f t="shared" si="7"/>
        <v>0</v>
      </c>
      <c r="T21" s="29"/>
      <c r="U21" s="42">
        <f>IFERROR(__xludf.DUMMYFUNCTION("""COMPUTED_VALUE"""),0.0)</f>
        <v>0</v>
      </c>
      <c r="V21" s="2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 t="shared" si="8"/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74"/>
      <c r="Q22" s="74"/>
      <c r="R22" s="37">
        <f t="shared" si="6"/>
        <v>0</v>
      </c>
      <c r="S22" s="38">
        <f t="shared" si="7"/>
        <v>0</v>
      </c>
      <c r="T22" s="29"/>
      <c r="U22" s="42">
        <f>IFERROR(__xludf.DUMMYFUNCTION("""COMPUTED_VALUE"""),0.0)</f>
        <v>0</v>
      </c>
      <c r="V22" s="2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73"/>
      <c r="U23" s="42">
        <f>IFERROR(__xludf.DUMMYFUNCTION("""COMPUTED_VALUE"""),0.0)</f>
        <v>0</v>
      </c>
      <c r="V23" s="2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73"/>
      <c r="U24" s="42">
        <f>IFERROR(__xludf.DUMMYFUNCTION("""COMPUTED_VALUE"""),0.0)</f>
        <v>0</v>
      </c>
      <c r="V24" s="24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9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73"/>
      <c r="U25" s="42">
        <f>IFERROR(__xludf.DUMMYFUNCTION("""COMPUTED_VALUE"""),0.0)</f>
        <v>0</v>
      </c>
      <c r="V25" s="24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9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76"/>
      <c r="U26" s="42">
        <f>IFERROR(__xludf.DUMMYFUNCTION("""COMPUTED_VALUE"""),0.0)</f>
        <v>0</v>
      </c>
      <c r="V26" s="24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9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76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9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76"/>
      <c r="U28" s="42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9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76"/>
      <c r="U29" s="42"/>
      <c r="V29" s="24"/>
      <c r="W29" s="24"/>
    </row>
    <row r="30" ht="37.5" customHeight="1"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9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</row>
    <row r="31" ht="37.5" customHeight="1">
      <c r="B31" s="54"/>
      <c r="F31" s="55" t="s">
        <v>21</v>
      </c>
      <c r="S31" s="56">
        <f>SUM(S9:S30)</f>
        <v>4000000</v>
      </c>
      <c r="T31" s="57"/>
      <c r="U31" s="58"/>
    </row>
    <row r="32" ht="37.5" customHeight="1">
      <c r="A32" s="24"/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24"/>
      <c r="W32" s="24"/>
    </row>
    <row r="33" ht="37.5" customHeight="1">
      <c r="A33" s="24"/>
      <c r="B33" s="21" t="str">
        <f>IFERROR(__xludf.DUMMYFUNCTION("IMPORTRANGE(""https://docs.google.com/spreadsheets/d/17TnzcKnlaqlAyM_3lnNpgK5CAOPbscCCRVH50X8UulY/edit?usp=sharing"",""FEBRUARI!B28"")"),"TANGGAL : 9-14 FEBRUARI 2026")</f>
        <v>TANGGAL : 9-14 FEBRUARI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IFERROR(__xludf.DUMMYFUNCTION("IMPORTRANGE(""https://docs.google.com/spreadsheets/d/17TnzcKnlaqlAyM_3lnNpgK5CAOPbscCCRVH50X8UulY/edit?usp=sharing"",""FEBRUARI!B29:D48"")"),"DENI")</f>
        <v>DENI</v>
      </c>
      <c r="D34" s="27" t="str">
        <f>IFERROR(__xludf.DUMMYFUNCTION("""COMPUTED_VALUE"""),"KEPALA")</f>
        <v>KEPALA</v>
      </c>
      <c r="E34" s="28" t="str">
        <f>IFERROR(__xludf.DUMMYFUNCTION("""COMPUTED_VALUE"""),"SHIFT 1")</f>
        <v>SHIFT 1</v>
      </c>
      <c r="F34" s="52">
        <f>IFERROR(__xludf.DUMMYFUNCTION("IMPORTRANGE(""https://docs.google.com/spreadsheets/d/17TnzcKnlaqlAyM_3lnNpgK5CAOPbscCCRVH50X8UulY/edit?usp=sharing"",""FEBRUARI!K29:K47"")"),6.0)</f>
        <v>6</v>
      </c>
      <c r="G34" s="30">
        <v>110000.0</v>
      </c>
      <c r="H34" s="31">
        <f t="shared" ref="H34:H55" si="10">F34*G34</f>
        <v>660000</v>
      </c>
      <c r="I34" s="31">
        <f t="shared" ref="I34:I55" si="11">F34*10000</f>
        <v>60000</v>
      </c>
      <c r="J34" s="32" t="str">
        <f t="shared" ref="J34:J55" si="12">IF(E34="SHIFT 2",I34,"")</f>
        <v/>
      </c>
      <c r="K34" s="32"/>
      <c r="L34" s="33">
        <f t="shared" ref="L34:L55" si="13">U34*$L$33</f>
        <v>0</v>
      </c>
      <c r="M34" s="32"/>
      <c r="N34" s="32"/>
      <c r="O34" s="34">
        <f t="shared" ref="O34:O55" si="14">SUM(H34:N34)</f>
        <v>720000</v>
      </c>
      <c r="P34" s="44"/>
      <c r="Q34" s="44"/>
      <c r="R34" s="37">
        <f t="shared" ref="R34:R55" si="15">SUM(P34:Q34)</f>
        <v>0</v>
      </c>
      <c r="S34" s="38">
        <f t="shared" ref="S34:S55" si="16">O34-R34</f>
        <v>720000</v>
      </c>
      <c r="T34" s="39" t="str">
        <f>IFERROR(__xludf.DUMMYFUNCTION("IMPORTRANGE(""https://docs.google.com/spreadsheets/d/17TnzcKnlaqlAyM_3lnNpgK5CAOPbscCCRVH50X8UulY/edit?usp=sharing"",""FEBRUARI!L29:L48"")"),"")</f>
        <v/>
      </c>
      <c r="U34" s="42">
        <f>IFERROR(__xludf.DUMMYFUNCTION("IMPORTRANGE(""https://docs.google.com/spreadsheets/d/17TnzcKnlaqlAyM_3lnNpgK5CAOPbscCCRVH50X8UulY/edit?usp=sharing"",""FEBRUARI!U29:U48"")"),0.0)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 t="str">
        <f>IFERROR(__xludf.DUMMYFUNCTION("""COMPUTED_VALUE"""),"SHIFT 1")</f>
        <v>SHIFT 1</v>
      </c>
      <c r="F35" s="52">
        <f>IFERROR(__xludf.DUMMYFUNCTION("""COMPUTED_VALUE"""),6.0)</f>
        <v>6</v>
      </c>
      <c r="G35" s="30">
        <v>70000.0</v>
      </c>
      <c r="H35" s="31">
        <f t="shared" si="10"/>
        <v>420000</v>
      </c>
      <c r="I35" s="31">
        <f t="shared" si="11"/>
        <v>60000</v>
      </c>
      <c r="J35" s="32" t="str">
        <f t="shared" si="12"/>
        <v/>
      </c>
      <c r="K35" s="41"/>
      <c r="L35" s="33">
        <f t="shared" si="13"/>
        <v>0</v>
      </c>
      <c r="M35" s="41"/>
      <c r="N35" s="41"/>
      <c r="O35" s="34">
        <f t="shared" si="14"/>
        <v>480000</v>
      </c>
      <c r="P35" s="44"/>
      <c r="Q35" s="44"/>
      <c r="R35" s="37">
        <f t="shared" si="15"/>
        <v>0</v>
      </c>
      <c r="S35" s="38">
        <f t="shared" si="16"/>
        <v>480000</v>
      </c>
      <c r="T35" s="39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 t="str">
        <f>IFERROR(__xludf.DUMMYFUNCTION("""COMPUTED_VALUE"""),"ANDRI")</f>
        <v>ANDRI</v>
      </c>
      <c r="D36" s="27" t="str">
        <f>IFERROR(__xludf.DUMMYFUNCTION("""COMPUTED_VALUE"""),"DESIGN BORDIR")</f>
        <v>DESIGN BORDIR</v>
      </c>
      <c r="E36" s="28" t="str">
        <f>IFERROR(__xludf.DUMMYFUNCTION("""COMPUTED_VALUE"""),"SHIFT 1")</f>
        <v>SHIFT 1</v>
      </c>
      <c r="F36" s="52">
        <f>IFERROR(__xludf.DUMMYFUNCTION("""COMPUTED_VALUE"""),6.0)</f>
        <v>6</v>
      </c>
      <c r="G36" s="30">
        <v>70000.0</v>
      </c>
      <c r="H36" s="31">
        <f t="shared" si="10"/>
        <v>420000</v>
      </c>
      <c r="I36" s="31">
        <f t="shared" si="11"/>
        <v>60000</v>
      </c>
      <c r="J36" s="32" t="str">
        <f t="shared" si="12"/>
        <v/>
      </c>
      <c r="K36" s="41"/>
      <c r="L36" s="33">
        <f t="shared" si="13"/>
        <v>0</v>
      </c>
      <c r="M36" s="41"/>
      <c r="N36" s="41"/>
      <c r="O36" s="34">
        <f t="shared" si="14"/>
        <v>480000</v>
      </c>
      <c r="P36" s="44"/>
      <c r="Q36" s="44"/>
      <c r="R36" s="37">
        <f t="shared" si="15"/>
        <v>0</v>
      </c>
      <c r="S36" s="38">
        <f t="shared" si="16"/>
        <v>480000</v>
      </c>
      <c r="T36" s="39"/>
      <c r="U36" s="42">
        <f>IFERROR(__xludf.DUMMYFUNCTION("""COMPUTED_VALUE"""),0.0)</f>
        <v>0</v>
      </c>
      <c r="V36" s="24"/>
      <c r="W36" s="24"/>
    </row>
    <row r="37" ht="37.5" customHeight="1">
      <c r="A37" s="24"/>
      <c r="B37" s="25">
        <v>4.0</v>
      </c>
      <c r="C37" s="26" t="str">
        <f>IFERROR(__xludf.DUMMYFUNCTION("""COMPUTED_VALUE"""),"ADIT")</f>
        <v>ADIT</v>
      </c>
      <c r="D37" s="27" t="str">
        <f>IFERROR(__xludf.DUMMYFUNCTION("""COMPUTED_VALUE"""),"CREATOR")</f>
        <v>CREATOR</v>
      </c>
      <c r="E37" s="28" t="str">
        <f>IFERROR(__xludf.DUMMYFUNCTION("""COMPUTED_VALUE"""),"SHIFT 1")</f>
        <v>SHIFT 1</v>
      </c>
      <c r="F37" s="52">
        <f>IFERROR(__xludf.DUMMYFUNCTION("""COMPUTED_VALUE"""),6.0)</f>
        <v>6</v>
      </c>
      <c r="G37" s="30">
        <v>50000.0</v>
      </c>
      <c r="H37" s="31">
        <f t="shared" si="10"/>
        <v>300000</v>
      </c>
      <c r="I37" s="31">
        <f t="shared" si="11"/>
        <v>60000</v>
      </c>
      <c r="J37" s="32" t="str">
        <f t="shared" si="12"/>
        <v/>
      </c>
      <c r="K37" s="32"/>
      <c r="L37" s="33">
        <f t="shared" si="13"/>
        <v>0</v>
      </c>
      <c r="M37" s="32"/>
      <c r="N37" s="32"/>
      <c r="O37" s="34">
        <f t="shared" si="14"/>
        <v>360000</v>
      </c>
      <c r="P37" s="44"/>
      <c r="Q37" s="44"/>
      <c r="R37" s="37">
        <f t="shared" si="15"/>
        <v>0</v>
      </c>
      <c r="S37" s="38">
        <f t="shared" si="16"/>
        <v>360000</v>
      </c>
      <c r="T37" s="39"/>
      <c r="U37" s="42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6" t="str">
        <f>IFERROR(__xludf.DUMMYFUNCTION("""COMPUTED_VALUE"""),"EPUL")</f>
        <v>EPUL</v>
      </c>
      <c r="D38" s="27" t="str">
        <f>IFERROR(__xludf.DUMMYFUNCTION("""COMPUTED_VALUE"""),"DESIGN BORDIR")</f>
        <v>DESIGN BORDIR</v>
      </c>
      <c r="E38" s="28" t="str">
        <f>IFERROR(__xludf.DUMMYFUNCTION("""COMPUTED_VALUE"""),"SHIFT 1")</f>
        <v>SHIFT 1</v>
      </c>
      <c r="F38" s="52">
        <f>IFERROR(__xludf.DUMMYFUNCTION("""COMPUTED_VALUE"""),6.0)</f>
        <v>6</v>
      </c>
      <c r="G38" s="30">
        <v>70000.0</v>
      </c>
      <c r="H38" s="31">
        <f t="shared" si="10"/>
        <v>420000</v>
      </c>
      <c r="I38" s="31">
        <f t="shared" si="11"/>
        <v>60000</v>
      </c>
      <c r="J38" s="32" t="str">
        <f t="shared" si="12"/>
        <v/>
      </c>
      <c r="K38" s="32"/>
      <c r="L38" s="33">
        <f t="shared" si="13"/>
        <v>0</v>
      </c>
      <c r="M38" s="32"/>
      <c r="N38" s="32"/>
      <c r="O38" s="34">
        <f t="shared" si="14"/>
        <v>480000</v>
      </c>
      <c r="P38" s="44"/>
      <c r="Q38" s="44"/>
      <c r="R38" s="37">
        <f t="shared" si="15"/>
        <v>0</v>
      </c>
      <c r="S38" s="38">
        <f t="shared" si="16"/>
        <v>480000</v>
      </c>
      <c r="T38" s="39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 t="str">
        <f>IFERROR(__xludf.DUMMYFUNCTION("""COMPUTED_VALUE"""),"SHIFT 1")</f>
        <v>SHIFT 1</v>
      </c>
      <c r="F39" s="52">
        <f>IFERROR(__xludf.DUMMYFUNCTION("""COMPUTED_VALUE"""),6.0)</f>
        <v>6</v>
      </c>
      <c r="G39" s="30">
        <v>70000.0</v>
      </c>
      <c r="H39" s="31">
        <f t="shared" si="10"/>
        <v>420000</v>
      </c>
      <c r="I39" s="31">
        <f t="shared" si="11"/>
        <v>60000</v>
      </c>
      <c r="J39" s="32" t="str">
        <f t="shared" si="12"/>
        <v/>
      </c>
      <c r="K39" s="32"/>
      <c r="L39" s="33">
        <f t="shared" si="13"/>
        <v>0</v>
      </c>
      <c r="M39" s="32"/>
      <c r="N39" s="32"/>
      <c r="O39" s="34">
        <f t="shared" si="14"/>
        <v>480000</v>
      </c>
      <c r="P39" s="44"/>
      <c r="Q39" s="44"/>
      <c r="R39" s="37">
        <f t="shared" si="15"/>
        <v>0</v>
      </c>
      <c r="S39" s="38">
        <f t="shared" si="16"/>
        <v>480000</v>
      </c>
      <c r="T39" s="39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 t="str">
        <f>IFERROR(__xludf.DUMMYFUNCTION("""COMPUTED_VALUE"""),"SHIFT 1")</f>
        <v>SHIFT 1</v>
      </c>
      <c r="F40" s="52">
        <f>IFERROR(__xludf.DUMMYFUNCTION("""COMPUTED_VALUE"""),6.0)</f>
        <v>6</v>
      </c>
      <c r="G40" s="30">
        <v>70000.0</v>
      </c>
      <c r="H40" s="31">
        <f t="shared" si="10"/>
        <v>420000</v>
      </c>
      <c r="I40" s="31">
        <f t="shared" si="11"/>
        <v>60000</v>
      </c>
      <c r="J40" s="32" t="str">
        <f t="shared" si="12"/>
        <v/>
      </c>
      <c r="K40" s="32"/>
      <c r="L40" s="33">
        <f t="shared" si="13"/>
        <v>0</v>
      </c>
      <c r="M40" s="32"/>
      <c r="N40" s="32"/>
      <c r="O40" s="34">
        <f t="shared" si="14"/>
        <v>480000</v>
      </c>
      <c r="P40" s="44"/>
      <c r="Q40" s="44"/>
      <c r="R40" s="37">
        <f t="shared" si="15"/>
        <v>0</v>
      </c>
      <c r="S40" s="38">
        <f t="shared" si="16"/>
        <v>480000</v>
      </c>
      <c r="T40" s="39"/>
      <c r="U40" s="42">
        <f>IFERROR(__xludf.DUMMYFUNCTION("""COMPUTED_VALUE"""),0.0)</f>
        <v>0</v>
      </c>
      <c r="V40" s="77" t="s">
        <v>22</v>
      </c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 t="str">
        <f>IFERROR(__xludf.DUMMYFUNCTION("""COMPUTED_VALUE"""),"SHIFT 1")</f>
        <v>SHIFT 1</v>
      </c>
      <c r="F41" s="52">
        <f>IFERROR(__xludf.DUMMYFUNCTION("""COMPUTED_VALUE"""),6.0)</f>
        <v>6</v>
      </c>
      <c r="G41" s="30">
        <v>50000.0</v>
      </c>
      <c r="H41" s="31">
        <f t="shared" si="10"/>
        <v>300000</v>
      </c>
      <c r="I41" s="31">
        <f t="shared" si="11"/>
        <v>60000</v>
      </c>
      <c r="J41" s="32" t="str">
        <f t="shared" si="12"/>
        <v/>
      </c>
      <c r="K41" s="32"/>
      <c r="L41" s="33">
        <f t="shared" si="13"/>
        <v>0</v>
      </c>
      <c r="M41" s="32"/>
      <c r="N41" s="32"/>
      <c r="O41" s="34">
        <f t="shared" si="14"/>
        <v>360000</v>
      </c>
      <c r="P41" s="44"/>
      <c r="Q41" s="44"/>
      <c r="R41" s="37">
        <f t="shared" si="15"/>
        <v>0</v>
      </c>
      <c r="S41" s="38">
        <f t="shared" si="16"/>
        <v>360000</v>
      </c>
      <c r="T41" s="39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 t="str">
        <f>IFERROR(__xludf.DUMMYFUNCTION("""COMPUTED_VALUE"""),"SHIFT 1")</f>
        <v>SHIFT 1</v>
      </c>
      <c r="F42" s="52">
        <f>IFERROR(__xludf.DUMMYFUNCTION("""COMPUTED_VALUE"""),6.0)</f>
        <v>6</v>
      </c>
      <c r="G42" s="30">
        <v>50000.0</v>
      </c>
      <c r="H42" s="31">
        <f t="shared" si="10"/>
        <v>300000</v>
      </c>
      <c r="I42" s="31">
        <f t="shared" si="11"/>
        <v>60000</v>
      </c>
      <c r="J42" s="32" t="str">
        <f t="shared" si="12"/>
        <v/>
      </c>
      <c r="K42" s="32"/>
      <c r="L42" s="33">
        <f t="shared" si="13"/>
        <v>0</v>
      </c>
      <c r="M42" s="32"/>
      <c r="N42" s="32"/>
      <c r="O42" s="34">
        <f t="shared" si="14"/>
        <v>360000</v>
      </c>
      <c r="P42" s="44"/>
      <c r="Q42" s="44"/>
      <c r="R42" s="37">
        <f t="shared" si="15"/>
        <v>0</v>
      </c>
      <c r="S42" s="38">
        <f t="shared" si="16"/>
        <v>360000</v>
      </c>
      <c r="T42" s="39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49"/>
      <c r="D43" s="50"/>
      <c r="E43" s="51"/>
      <c r="F43" s="52">
        <f>IFERROR(__xludf.DUMMYFUNCTION("""COMPUTED_VALUE"""),0.0)</f>
        <v>0</v>
      </c>
      <c r="G43" s="45"/>
      <c r="H43" s="31">
        <f t="shared" si="10"/>
        <v>0</v>
      </c>
      <c r="I43" s="31">
        <f t="shared" si="11"/>
        <v>0</v>
      </c>
      <c r="J43" s="32" t="str">
        <f t="shared" si="12"/>
        <v/>
      </c>
      <c r="K43" s="32"/>
      <c r="L43" s="33">
        <f t="shared" si="13"/>
        <v>0</v>
      </c>
      <c r="M43" s="32"/>
      <c r="N43" s="32"/>
      <c r="O43" s="34">
        <f t="shared" si="14"/>
        <v>0</v>
      </c>
      <c r="P43" s="44"/>
      <c r="Q43" s="44"/>
      <c r="R43" s="37">
        <f t="shared" si="15"/>
        <v>0</v>
      </c>
      <c r="S43" s="38">
        <f t="shared" si="16"/>
        <v>0</v>
      </c>
      <c r="T43" s="39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10"/>
        <v>0</v>
      </c>
      <c r="I44" s="31">
        <f t="shared" si="11"/>
        <v>0</v>
      </c>
      <c r="J44" s="32" t="str">
        <f t="shared" si="12"/>
        <v/>
      </c>
      <c r="K44" s="32"/>
      <c r="L44" s="33">
        <f t="shared" si="13"/>
        <v>0</v>
      </c>
      <c r="M44" s="32"/>
      <c r="N44" s="32"/>
      <c r="O44" s="34">
        <f t="shared" si="14"/>
        <v>0</v>
      </c>
      <c r="P44" s="44"/>
      <c r="Q44" s="44"/>
      <c r="R44" s="37">
        <f t="shared" si="15"/>
        <v>0</v>
      </c>
      <c r="S44" s="38">
        <f t="shared" si="16"/>
        <v>0</v>
      </c>
      <c r="T44" s="39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49"/>
      <c r="D45" s="50"/>
      <c r="E45" s="51"/>
      <c r="F45" s="52">
        <f>IFERROR(__xludf.DUMMYFUNCTION("""COMPUTED_VALUE"""),0.0)</f>
        <v>0</v>
      </c>
      <c r="G45" s="45"/>
      <c r="H45" s="31">
        <f t="shared" si="10"/>
        <v>0</v>
      </c>
      <c r="I45" s="31">
        <f t="shared" si="11"/>
        <v>0</v>
      </c>
      <c r="J45" s="32" t="str">
        <f t="shared" si="12"/>
        <v/>
      </c>
      <c r="K45" s="32"/>
      <c r="L45" s="33">
        <f t="shared" si="13"/>
        <v>0</v>
      </c>
      <c r="M45" s="32"/>
      <c r="N45" s="32"/>
      <c r="O45" s="34">
        <f t="shared" si="14"/>
        <v>0</v>
      </c>
      <c r="P45" s="44"/>
      <c r="Q45" s="44"/>
      <c r="R45" s="37">
        <f t="shared" si="15"/>
        <v>0</v>
      </c>
      <c r="S45" s="38">
        <f t="shared" si="16"/>
        <v>0</v>
      </c>
      <c r="T45" s="39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10"/>
        <v>0</v>
      </c>
      <c r="I46" s="31">
        <f t="shared" si="11"/>
        <v>0</v>
      </c>
      <c r="J46" s="32" t="str">
        <f t="shared" si="12"/>
        <v/>
      </c>
      <c r="K46" s="32"/>
      <c r="L46" s="33">
        <f t="shared" si="13"/>
        <v>0</v>
      </c>
      <c r="M46" s="32"/>
      <c r="N46" s="32"/>
      <c r="O46" s="34">
        <f t="shared" si="14"/>
        <v>0</v>
      </c>
      <c r="P46" s="44"/>
      <c r="Q46" s="44"/>
      <c r="R46" s="37">
        <f t="shared" si="15"/>
        <v>0</v>
      </c>
      <c r="S46" s="38">
        <f t="shared" si="16"/>
        <v>0</v>
      </c>
      <c r="T46" s="39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10"/>
        <v>0</v>
      </c>
      <c r="I47" s="31">
        <f t="shared" si="11"/>
        <v>0</v>
      </c>
      <c r="J47" s="32" t="str">
        <f t="shared" si="12"/>
        <v/>
      </c>
      <c r="K47" s="32"/>
      <c r="L47" s="33">
        <f t="shared" si="13"/>
        <v>0</v>
      </c>
      <c r="M47" s="32"/>
      <c r="N47" s="32"/>
      <c r="O47" s="34">
        <f t="shared" si="14"/>
        <v>0</v>
      </c>
      <c r="P47" s="44"/>
      <c r="Q47" s="44"/>
      <c r="R47" s="37">
        <f t="shared" si="15"/>
        <v>0</v>
      </c>
      <c r="S47" s="38">
        <f t="shared" si="16"/>
        <v>0</v>
      </c>
      <c r="T47" s="39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10"/>
        <v>0</v>
      </c>
      <c r="I48" s="31">
        <f t="shared" si="11"/>
        <v>0</v>
      </c>
      <c r="J48" s="32" t="str">
        <f t="shared" si="12"/>
        <v/>
      </c>
      <c r="K48" s="32"/>
      <c r="L48" s="33">
        <f t="shared" si="13"/>
        <v>0</v>
      </c>
      <c r="M48" s="32"/>
      <c r="N48" s="32"/>
      <c r="O48" s="34">
        <f t="shared" si="14"/>
        <v>0</v>
      </c>
      <c r="P48" s="44"/>
      <c r="Q48" s="44"/>
      <c r="R48" s="37">
        <f t="shared" si="15"/>
        <v>0</v>
      </c>
      <c r="S48" s="38">
        <f t="shared" si="16"/>
        <v>0</v>
      </c>
      <c r="T48" s="39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10"/>
        <v>0</v>
      </c>
      <c r="I49" s="31">
        <f t="shared" si="11"/>
        <v>0</v>
      </c>
      <c r="J49" s="32" t="str">
        <f t="shared" si="12"/>
        <v/>
      </c>
      <c r="K49" s="32"/>
      <c r="L49" s="33">
        <f t="shared" si="13"/>
        <v>0</v>
      </c>
      <c r="M49" s="32"/>
      <c r="N49" s="32"/>
      <c r="O49" s="34">
        <f t="shared" si="14"/>
        <v>0</v>
      </c>
      <c r="P49" s="44"/>
      <c r="Q49" s="44"/>
      <c r="R49" s="37">
        <f t="shared" si="15"/>
        <v>0</v>
      </c>
      <c r="S49" s="38">
        <f t="shared" si="16"/>
        <v>0</v>
      </c>
      <c r="T49" s="39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10"/>
        <v>0</v>
      </c>
      <c r="I50" s="31">
        <f t="shared" si="11"/>
        <v>0</v>
      </c>
      <c r="J50" s="32" t="str">
        <f t="shared" si="12"/>
        <v/>
      </c>
      <c r="K50" s="32"/>
      <c r="L50" s="33">
        <f t="shared" si="13"/>
        <v>0</v>
      </c>
      <c r="M50" s="32"/>
      <c r="N50" s="32"/>
      <c r="O50" s="34">
        <f t="shared" si="14"/>
        <v>0</v>
      </c>
      <c r="P50" s="44"/>
      <c r="Q50" s="44"/>
      <c r="R50" s="37">
        <f t="shared" si="15"/>
        <v>0</v>
      </c>
      <c r="S50" s="38">
        <f t="shared" si="16"/>
        <v>0</v>
      </c>
      <c r="T50" s="39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10"/>
        <v>0</v>
      </c>
      <c r="I51" s="31">
        <f t="shared" si="11"/>
        <v>0</v>
      </c>
      <c r="J51" s="32" t="str">
        <f t="shared" si="12"/>
        <v/>
      </c>
      <c r="K51" s="32"/>
      <c r="L51" s="33">
        <f t="shared" si="13"/>
        <v>0</v>
      </c>
      <c r="M51" s="32"/>
      <c r="N51" s="32"/>
      <c r="O51" s="34">
        <f t="shared" si="14"/>
        <v>0</v>
      </c>
      <c r="P51" s="44"/>
      <c r="Q51" s="44"/>
      <c r="R51" s="37">
        <f t="shared" si="15"/>
        <v>0</v>
      </c>
      <c r="S51" s="38">
        <f t="shared" si="16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10"/>
        <v>0</v>
      </c>
      <c r="I52" s="31">
        <f t="shared" si="11"/>
        <v>0</v>
      </c>
      <c r="J52" s="32" t="str">
        <f t="shared" si="12"/>
        <v/>
      </c>
      <c r="K52" s="32"/>
      <c r="L52" s="33">
        <f t="shared" si="13"/>
        <v>0</v>
      </c>
      <c r="M52" s="32"/>
      <c r="N52" s="32"/>
      <c r="O52" s="34">
        <f t="shared" si="14"/>
        <v>0</v>
      </c>
      <c r="P52" s="44"/>
      <c r="Q52" s="44"/>
      <c r="R52" s="37">
        <f t="shared" si="15"/>
        <v>0</v>
      </c>
      <c r="S52" s="38">
        <f t="shared" si="16"/>
        <v>0</v>
      </c>
      <c r="T52" s="51"/>
      <c r="U52" s="42">
        <f>IFERROR(__xludf.DUMMYFUNCTION("""COMPUTED_VALUE"""),0.0)</f>
        <v>0</v>
      </c>
    </row>
    <row r="53" ht="37.5" customHeight="1">
      <c r="B53" s="25">
        <v>20.0</v>
      </c>
      <c r="C53" s="49"/>
      <c r="D53" s="51"/>
      <c r="E53" s="51"/>
      <c r="F53" s="42"/>
      <c r="G53" s="53"/>
      <c r="H53" s="31">
        <f t="shared" si="10"/>
        <v>0</v>
      </c>
      <c r="I53" s="31">
        <f t="shared" si="11"/>
        <v>0</v>
      </c>
      <c r="J53" s="32" t="str">
        <f t="shared" si="12"/>
        <v/>
      </c>
      <c r="K53" s="32"/>
      <c r="L53" s="33">
        <f t="shared" si="13"/>
        <v>0</v>
      </c>
      <c r="M53" s="32"/>
      <c r="N53" s="32"/>
      <c r="O53" s="34">
        <f t="shared" si="14"/>
        <v>0</v>
      </c>
      <c r="P53" s="44"/>
      <c r="Q53" s="44"/>
      <c r="R53" s="37">
        <f t="shared" si="15"/>
        <v>0</v>
      </c>
      <c r="S53" s="38">
        <f t="shared" si="16"/>
        <v>0</v>
      </c>
      <c r="T53" s="51"/>
      <c r="U53" s="42">
        <f>IFERROR(__xludf.DUMMYFUNCTION("""COMPUTED_VALUE"""),0.0)</f>
        <v>0</v>
      </c>
    </row>
    <row r="54" ht="37.5" customHeight="1">
      <c r="B54" s="25">
        <v>21.0</v>
      </c>
      <c r="C54" s="49"/>
      <c r="D54" s="51"/>
      <c r="E54" s="51"/>
      <c r="F54" s="42"/>
      <c r="G54" s="53"/>
      <c r="H54" s="31">
        <f t="shared" si="10"/>
        <v>0</v>
      </c>
      <c r="I54" s="31">
        <f t="shared" si="11"/>
        <v>0</v>
      </c>
      <c r="J54" s="32" t="str">
        <f t="shared" si="12"/>
        <v/>
      </c>
      <c r="K54" s="32"/>
      <c r="L54" s="33">
        <f t="shared" si="13"/>
        <v>0</v>
      </c>
      <c r="M54" s="32"/>
      <c r="N54" s="32"/>
      <c r="O54" s="34">
        <f t="shared" si="14"/>
        <v>0</v>
      </c>
      <c r="P54" s="44"/>
      <c r="Q54" s="44"/>
      <c r="R54" s="37">
        <f t="shared" si="15"/>
        <v>0</v>
      </c>
      <c r="S54" s="38">
        <f t="shared" si="16"/>
        <v>0</v>
      </c>
      <c r="T54" s="51"/>
      <c r="U54" s="42"/>
    </row>
    <row r="55" ht="37.5" customHeight="1">
      <c r="B55" s="25">
        <v>22.0</v>
      </c>
      <c r="C55" s="49"/>
      <c r="D55" s="51"/>
      <c r="E55" s="51"/>
      <c r="F55" s="42"/>
      <c r="G55" s="53"/>
      <c r="H55" s="31">
        <f t="shared" si="10"/>
        <v>0</v>
      </c>
      <c r="I55" s="31">
        <f t="shared" si="11"/>
        <v>0</v>
      </c>
      <c r="J55" s="32" t="str">
        <f t="shared" si="12"/>
        <v/>
      </c>
      <c r="K55" s="32"/>
      <c r="L55" s="33">
        <f t="shared" si="13"/>
        <v>0</v>
      </c>
      <c r="M55" s="32"/>
      <c r="N55" s="32"/>
      <c r="O55" s="34">
        <f t="shared" si="14"/>
        <v>0</v>
      </c>
      <c r="P55" s="44"/>
      <c r="Q55" s="44"/>
      <c r="R55" s="37">
        <f t="shared" si="15"/>
        <v>0</v>
      </c>
      <c r="S55" s="38">
        <f t="shared" si="16"/>
        <v>0</v>
      </c>
      <c r="T55" s="51"/>
      <c r="U55" s="42"/>
    </row>
    <row r="56" ht="37.5" customHeight="1">
      <c r="B56" s="54"/>
      <c r="F56" s="55" t="s">
        <v>21</v>
      </c>
      <c r="S56" s="56">
        <f>SUM(S34:S55)</f>
        <v>4200000</v>
      </c>
      <c r="T56" s="57"/>
      <c r="U56" s="58"/>
    </row>
    <row r="57" ht="37.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3"/>
      <c r="W57" s="63"/>
    </row>
    <row r="58" ht="37.5" customHeight="1">
      <c r="B58" s="21" t="str">
        <f>IFERROR(__xludf.DUMMYFUNCTION("IMPORTRANGE(""https://docs.google.com/spreadsheets/d/17TnzcKnlaqlAyM_3lnNpgK5CAOPbscCCRVH50X8UulY/edit?usp=sharing"",""FEBRUARI!B50"")"),"TANGGAL : 16 - 21 FEBRUARI 2026")</f>
        <v>TANGGAL : 16 - 21 FEBRUARI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  <c r="V58" s="63"/>
      <c r="W58" s="63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IFERROR(__xludf.DUMMYFUNCTION("IMPORTRANGE(""https://docs.google.com/spreadsheets/d/17TnzcKnlaqlAyM_3lnNpgK5CAOPbscCCRVH50X8UulY/edit?usp=sharing"",""FEBRUARI!B51:D70"")"),"DENI")</f>
        <v>DENI</v>
      </c>
      <c r="D59" s="27" t="str">
        <f>IFERROR(__xludf.DUMMYFUNCTION("""COMPUTED_VALUE"""),"KEPALA")</f>
        <v>KEPALA</v>
      </c>
      <c r="E59" s="28" t="str">
        <f>IFERROR(__xludf.DUMMYFUNCTION("""COMPUTED_VALUE"""),"SHIFT 1")</f>
        <v>SHIFT 1</v>
      </c>
      <c r="F59" s="52">
        <f>IFERROR(__xludf.DUMMYFUNCTION("IMPORTRANGE(""https://docs.google.com/spreadsheets/d/17TnzcKnlaqlAyM_3lnNpgK5CAOPbscCCRVH50X8UulY/edit?usp=sharing"",""FEBRUARI!K51:K69"")"),5.0)</f>
        <v>5</v>
      </c>
      <c r="G59" s="30">
        <v>110000.0</v>
      </c>
      <c r="H59" s="31">
        <f t="shared" ref="H59:H80" si="17">F59*G59</f>
        <v>550000</v>
      </c>
      <c r="I59" s="31">
        <f t="shared" ref="I59:I80" si="18">F59*10000</f>
        <v>50000</v>
      </c>
      <c r="J59" s="32" t="str">
        <f t="shared" ref="J59:J80" si="19">IF(E59="SHIFT 2",I59,"")</f>
        <v/>
      </c>
      <c r="K59" s="32"/>
      <c r="L59" s="33">
        <f t="shared" ref="L59:L80" si="20">U59*$L$58</f>
        <v>60000</v>
      </c>
      <c r="M59" s="78"/>
      <c r="N59" s="32"/>
      <c r="O59" s="34">
        <f t="shared" ref="O59:O80" si="21">SUM(H59:N59)</f>
        <v>660000</v>
      </c>
      <c r="P59" s="44"/>
      <c r="Q59" s="44"/>
      <c r="R59" s="37">
        <f t="shared" ref="R59:R80" si="22">SUM(P59:Q59)</f>
        <v>0</v>
      </c>
      <c r="S59" s="38">
        <f t="shared" ref="S59:S80" si="23">O59-R59</f>
        <v>660000</v>
      </c>
      <c r="T59" s="52" t="str">
        <f>IFERROR(__xludf.DUMMYFUNCTION("IMPORTRANGE(""https://docs.google.com/spreadsheets/d/17TnzcKnlaqlAyM_3lnNpgK5CAOPbscCCRVH50X8UulY/edit?usp=sharing"",""FEBRUARI!L51:L70"")"),"kamis lembur 4 jam")</f>
        <v>kamis lembur 4 jam</v>
      </c>
      <c r="U59" s="42">
        <f>IFERROR(__xludf.DUMMYFUNCTION("IMPORTRANGE(""https://docs.google.com/spreadsheets/d/17TnzcKnlaqlAyM_3lnNpgK5CAOPbscCCRVH50X8UulY/edit?usp=sharing"",""FEBRUARI!U51:U70"")"),4.0)</f>
        <v>4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 t="str">
        <f>IFERROR(__xludf.DUMMYFUNCTION("""COMPUTED_VALUE"""),"SHIFT 1")</f>
        <v>SHIFT 1</v>
      </c>
      <c r="F60" s="52">
        <f>IFERROR(__xludf.DUMMYFUNCTION("""COMPUTED_VALUE"""),5.0)</f>
        <v>5</v>
      </c>
      <c r="G60" s="30">
        <v>70000.0</v>
      </c>
      <c r="H60" s="31">
        <f t="shared" si="17"/>
        <v>350000</v>
      </c>
      <c r="I60" s="31">
        <f t="shared" si="18"/>
        <v>50000</v>
      </c>
      <c r="J60" s="32" t="str">
        <f t="shared" si="19"/>
        <v/>
      </c>
      <c r="K60" s="41"/>
      <c r="L60" s="33">
        <f t="shared" si="20"/>
        <v>0</v>
      </c>
      <c r="M60" s="78"/>
      <c r="N60" s="41"/>
      <c r="O60" s="34">
        <f t="shared" si="21"/>
        <v>400000</v>
      </c>
      <c r="P60" s="44"/>
      <c r="Q60" s="44"/>
      <c r="R60" s="37">
        <f t="shared" si="22"/>
        <v>0</v>
      </c>
      <c r="S60" s="38">
        <f t="shared" si="23"/>
        <v>400000</v>
      </c>
      <c r="T60" s="52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 t="str">
        <f>IFERROR(__xludf.DUMMYFUNCTION("""COMPUTED_VALUE"""),"ANDRI")</f>
        <v>ANDRI</v>
      </c>
      <c r="D61" s="27" t="str">
        <f>IFERROR(__xludf.DUMMYFUNCTION("""COMPUTED_VALUE"""),"DESIGN BORDIR")</f>
        <v>DESIGN BORDIR</v>
      </c>
      <c r="E61" s="28" t="str">
        <f>IFERROR(__xludf.DUMMYFUNCTION("""COMPUTED_VALUE"""),"SHIFT 1")</f>
        <v>SHIFT 1</v>
      </c>
      <c r="F61" s="52">
        <f>IFERROR(__xludf.DUMMYFUNCTION("""COMPUTED_VALUE"""),5.0)</f>
        <v>5</v>
      </c>
      <c r="G61" s="30">
        <v>70000.0</v>
      </c>
      <c r="H61" s="31">
        <f t="shared" si="17"/>
        <v>350000</v>
      </c>
      <c r="I61" s="31">
        <f t="shared" si="18"/>
        <v>50000</v>
      </c>
      <c r="J61" s="32" t="str">
        <f t="shared" si="19"/>
        <v/>
      </c>
      <c r="K61" s="41"/>
      <c r="L61" s="33">
        <f t="shared" si="20"/>
        <v>0</v>
      </c>
      <c r="M61" s="78"/>
      <c r="N61" s="41"/>
      <c r="O61" s="34">
        <f t="shared" si="21"/>
        <v>400000</v>
      </c>
      <c r="P61" s="44"/>
      <c r="Q61" s="44"/>
      <c r="R61" s="37">
        <f t="shared" si="22"/>
        <v>0</v>
      </c>
      <c r="S61" s="38">
        <f t="shared" si="23"/>
        <v>400000</v>
      </c>
      <c r="T61" s="52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IFERROR(__xludf.DUMMYFUNCTION("""COMPUTED_VALUE"""),"ADIT")</f>
        <v>ADIT</v>
      </c>
      <c r="D62" s="27" t="str">
        <f>IFERROR(__xludf.DUMMYFUNCTION("""COMPUTED_VALUE"""),"CREATOR")</f>
        <v>CREATOR</v>
      </c>
      <c r="E62" s="28" t="str">
        <f>IFERROR(__xludf.DUMMYFUNCTION("""COMPUTED_VALUE"""),"SHIFT 1")</f>
        <v>SHIFT 1</v>
      </c>
      <c r="F62" s="52">
        <f>IFERROR(__xludf.DUMMYFUNCTION("""COMPUTED_VALUE"""),5.0)</f>
        <v>5</v>
      </c>
      <c r="G62" s="30">
        <v>50000.0</v>
      </c>
      <c r="H62" s="31">
        <f t="shared" si="17"/>
        <v>250000</v>
      </c>
      <c r="I62" s="31">
        <f t="shared" si="18"/>
        <v>50000</v>
      </c>
      <c r="J62" s="32" t="str">
        <f t="shared" si="19"/>
        <v/>
      </c>
      <c r="K62" s="32"/>
      <c r="L62" s="33">
        <f t="shared" si="20"/>
        <v>0</v>
      </c>
      <c r="M62" s="78"/>
      <c r="N62" s="32"/>
      <c r="O62" s="34">
        <f t="shared" si="21"/>
        <v>300000</v>
      </c>
      <c r="P62" s="44"/>
      <c r="Q62" s="44"/>
      <c r="R62" s="37">
        <f t="shared" si="22"/>
        <v>0</v>
      </c>
      <c r="S62" s="38">
        <f t="shared" si="23"/>
        <v>300000</v>
      </c>
      <c r="T62" s="52"/>
      <c r="U62" s="42">
        <f>IFERROR(__xludf.DUMMYFUNCTION("""COMPUTED_VALUE"""),0.0)</f>
        <v>0</v>
      </c>
    </row>
    <row r="63" ht="37.5" customHeight="1">
      <c r="B63" s="25">
        <v>5.0</v>
      </c>
      <c r="C63" s="26" t="str">
        <f>IFERROR(__xludf.DUMMYFUNCTION("""COMPUTED_VALUE"""),"EPUL")</f>
        <v>EPUL</v>
      </c>
      <c r="D63" s="27" t="str">
        <f>IFERROR(__xludf.DUMMYFUNCTION("""COMPUTED_VALUE"""),"DESIGN BORDIR")</f>
        <v>DESIGN BORDIR</v>
      </c>
      <c r="E63" s="28" t="str">
        <f>IFERROR(__xludf.DUMMYFUNCTION("""COMPUTED_VALUE"""),"SHIFT 1")</f>
        <v>SHIFT 1</v>
      </c>
      <c r="F63" s="52">
        <f>IFERROR(__xludf.DUMMYFUNCTION("""COMPUTED_VALUE"""),4.0)</f>
        <v>4</v>
      </c>
      <c r="G63" s="30">
        <v>70000.0</v>
      </c>
      <c r="H63" s="31">
        <f t="shared" si="17"/>
        <v>280000</v>
      </c>
      <c r="I63" s="31">
        <f t="shared" si="18"/>
        <v>40000</v>
      </c>
      <c r="J63" s="32" t="str">
        <f t="shared" si="19"/>
        <v/>
      </c>
      <c r="K63" s="32"/>
      <c r="L63" s="33">
        <f t="shared" si="20"/>
        <v>0</v>
      </c>
      <c r="M63" s="78"/>
      <c r="N63" s="32"/>
      <c r="O63" s="34">
        <f t="shared" si="21"/>
        <v>320000</v>
      </c>
      <c r="P63" s="44"/>
      <c r="Q63" s="44"/>
      <c r="R63" s="37">
        <f t="shared" si="22"/>
        <v>0</v>
      </c>
      <c r="S63" s="38">
        <f t="shared" si="23"/>
        <v>320000</v>
      </c>
      <c r="T63" s="52"/>
      <c r="U63" s="42">
        <f>IFERROR(__xludf.DUMMYFUNCTION("""COMPUTED_VALUE"""),0.0)</f>
        <v>0</v>
      </c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 t="str">
        <f>IFERROR(__xludf.DUMMYFUNCTION("""COMPUTED_VALUE"""),"SHIFT 1")</f>
        <v>SHIFT 1</v>
      </c>
      <c r="F64" s="52">
        <f>IFERROR(__xludf.DUMMYFUNCTION("""COMPUTED_VALUE"""),5.0)</f>
        <v>5</v>
      </c>
      <c r="G64" s="30">
        <v>70000.0</v>
      </c>
      <c r="H64" s="31">
        <f t="shared" si="17"/>
        <v>350000</v>
      </c>
      <c r="I64" s="31">
        <f t="shared" si="18"/>
        <v>50000</v>
      </c>
      <c r="J64" s="32" t="str">
        <f t="shared" si="19"/>
        <v/>
      </c>
      <c r="K64" s="32"/>
      <c r="L64" s="33">
        <f t="shared" si="20"/>
        <v>60000</v>
      </c>
      <c r="M64" s="78"/>
      <c r="N64" s="32"/>
      <c r="O64" s="34">
        <f t="shared" si="21"/>
        <v>460000</v>
      </c>
      <c r="P64" s="44"/>
      <c r="Q64" s="44"/>
      <c r="R64" s="37">
        <f t="shared" si="22"/>
        <v>0</v>
      </c>
      <c r="S64" s="38">
        <f t="shared" si="23"/>
        <v>460000</v>
      </c>
      <c r="T64" s="52" t="str">
        <f>IFERROR(__xludf.DUMMYFUNCTION("""COMPUTED_VALUE"""),"kamis lembur 4 jam")</f>
        <v>kamis lembur 4 jam</v>
      </c>
      <c r="U64" s="42">
        <f>IFERROR(__xludf.DUMMYFUNCTION("""COMPUTED_VALUE"""),4.0)</f>
        <v>4</v>
      </c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 t="str">
        <f>IFERROR(__xludf.DUMMYFUNCTION("""COMPUTED_VALUE"""),"SHIFT 1")</f>
        <v>SHIFT 1</v>
      </c>
      <c r="F65" s="52">
        <f>IFERROR(__xludf.DUMMYFUNCTION("""COMPUTED_VALUE"""),5.0)</f>
        <v>5</v>
      </c>
      <c r="G65" s="30">
        <v>70000.0</v>
      </c>
      <c r="H65" s="31">
        <f t="shared" si="17"/>
        <v>350000</v>
      </c>
      <c r="I65" s="31">
        <f t="shared" si="18"/>
        <v>50000</v>
      </c>
      <c r="J65" s="32" t="str">
        <f t="shared" si="19"/>
        <v/>
      </c>
      <c r="K65" s="32"/>
      <c r="L65" s="33">
        <f t="shared" si="20"/>
        <v>22500</v>
      </c>
      <c r="M65" s="78"/>
      <c r="N65" s="32"/>
      <c r="O65" s="34">
        <f t="shared" si="21"/>
        <v>422500</v>
      </c>
      <c r="P65" s="44"/>
      <c r="Q65" s="44"/>
      <c r="R65" s="37">
        <f t="shared" si="22"/>
        <v>0</v>
      </c>
      <c r="S65" s="38">
        <f t="shared" si="23"/>
        <v>422500</v>
      </c>
      <c r="T65" s="52" t="str">
        <f>IFERROR(__xludf.DUMMYFUNCTION("""COMPUTED_VALUE"""),"senin Lembur 1,5 jam")</f>
        <v>senin Lembur 1,5 jam</v>
      </c>
      <c r="U65" s="42">
        <f>IFERROR(__xludf.DUMMYFUNCTION("""COMPUTED_VALUE"""),1.5)</f>
        <v>1.5</v>
      </c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 t="str">
        <f>IFERROR(__xludf.DUMMYFUNCTION("""COMPUTED_VALUE"""),"SHIFT 1")</f>
        <v>SHIFT 1</v>
      </c>
      <c r="F66" s="52">
        <f>IFERROR(__xludf.DUMMYFUNCTION("""COMPUTED_VALUE"""),5.0)</f>
        <v>5</v>
      </c>
      <c r="G66" s="30">
        <v>50000.0</v>
      </c>
      <c r="H66" s="31">
        <f t="shared" si="17"/>
        <v>250000</v>
      </c>
      <c r="I66" s="31">
        <f t="shared" si="18"/>
        <v>50000</v>
      </c>
      <c r="J66" s="32" t="str">
        <f t="shared" si="19"/>
        <v/>
      </c>
      <c r="K66" s="32"/>
      <c r="L66" s="33">
        <f t="shared" si="20"/>
        <v>22500</v>
      </c>
      <c r="M66" s="78"/>
      <c r="N66" s="32"/>
      <c r="O66" s="34">
        <f t="shared" si="21"/>
        <v>322500</v>
      </c>
      <c r="P66" s="44"/>
      <c r="Q66" s="44"/>
      <c r="R66" s="37">
        <f t="shared" si="22"/>
        <v>0</v>
      </c>
      <c r="S66" s="38">
        <f t="shared" si="23"/>
        <v>322500</v>
      </c>
      <c r="T66" s="52" t="str">
        <f>IFERROR(__xludf.DUMMYFUNCTION("""COMPUTED_VALUE"""),"senin Lembur 1,5 jam")</f>
        <v>senin Lembur 1,5 jam</v>
      </c>
      <c r="U66" s="42">
        <f>IFERROR(__xludf.DUMMYFUNCTION("""COMPUTED_VALUE"""),1.5)</f>
        <v>1.5</v>
      </c>
    </row>
    <row r="67" ht="37.5" customHeight="1">
      <c r="B67" s="25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 t="str">
        <f>IFERROR(__xludf.DUMMYFUNCTION("""COMPUTED_VALUE"""),"SHIFT 1")</f>
        <v>SHIFT 1</v>
      </c>
      <c r="F67" s="52">
        <f>IFERROR(__xludf.DUMMYFUNCTION("""COMPUTED_VALUE"""),5.0)</f>
        <v>5</v>
      </c>
      <c r="G67" s="30">
        <v>50000.0</v>
      </c>
      <c r="H67" s="31">
        <f t="shared" si="17"/>
        <v>250000</v>
      </c>
      <c r="I67" s="31">
        <f t="shared" si="18"/>
        <v>50000</v>
      </c>
      <c r="J67" s="32" t="str">
        <f t="shared" si="19"/>
        <v/>
      </c>
      <c r="K67" s="32"/>
      <c r="L67" s="33">
        <f t="shared" si="20"/>
        <v>0</v>
      </c>
      <c r="M67" s="78"/>
      <c r="N67" s="32"/>
      <c r="O67" s="34">
        <f t="shared" si="21"/>
        <v>300000</v>
      </c>
      <c r="P67" s="44"/>
      <c r="Q67" s="44"/>
      <c r="R67" s="37">
        <f t="shared" si="22"/>
        <v>0</v>
      </c>
      <c r="S67" s="38">
        <f t="shared" si="23"/>
        <v>300000</v>
      </c>
      <c r="T67" s="52"/>
      <c r="U67" s="42">
        <f>IFERROR(__xludf.DUMMYFUNCTION("""COMPUTED_VALUE"""),0.0)</f>
        <v>0</v>
      </c>
    </row>
    <row r="68" ht="37.5" customHeight="1">
      <c r="B68" s="25">
        <v>10.0</v>
      </c>
      <c r="C68" s="49"/>
      <c r="D68" s="50"/>
      <c r="E68" s="51"/>
      <c r="F68" s="52">
        <f>IFERROR(__xludf.DUMMYFUNCTION("""COMPUTED_VALUE"""),0.0)</f>
        <v>0</v>
      </c>
      <c r="G68" s="45"/>
      <c r="H68" s="31">
        <f t="shared" si="17"/>
        <v>0</v>
      </c>
      <c r="I68" s="31">
        <f t="shared" si="18"/>
        <v>0</v>
      </c>
      <c r="J68" s="32" t="str">
        <f t="shared" si="19"/>
        <v/>
      </c>
      <c r="K68" s="32"/>
      <c r="L68" s="33">
        <f t="shared" si="20"/>
        <v>0</v>
      </c>
      <c r="M68" s="32"/>
      <c r="N68" s="32"/>
      <c r="O68" s="34">
        <f t="shared" si="21"/>
        <v>0</v>
      </c>
      <c r="P68" s="44"/>
      <c r="Q68" s="44"/>
      <c r="R68" s="37">
        <f t="shared" si="22"/>
        <v>0</v>
      </c>
      <c r="S68" s="38">
        <f t="shared" si="23"/>
        <v>0</v>
      </c>
      <c r="T68" s="52"/>
      <c r="U68" s="42">
        <f>IFERROR(__xludf.DUMMYFUNCTION("""COMPUTED_VALUE"""),0.0)</f>
        <v>0</v>
      </c>
    </row>
    <row r="69" ht="37.5" customHeight="1">
      <c r="B69" s="25">
        <v>11.0</v>
      </c>
      <c r="C69" s="49"/>
      <c r="D69" s="50"/>
      <c r="E69" s="51"/>
      <c r="F69" s="52">
        <f>IFERROR(__xludf.DUMMYFUNCTION("""COMPUTED_VALUE"""),0.0)</f>
        <v>0</v>
      </c>
      <c r="G69" s="45"/>
      <c r="H69" s="31">
        <f t="shared" si="17"/>
        <v>0</v>
      </c>
      <c r="I69" s="31">
        <f t="shared" si="18"/>
        <v>0</v>
      </c>
      <c r="J69" s="32" t="str">
        <f t="shared" si="19"/>
        <v/>
      </c>
      <c r="K69" s="32"/>
      <c r="L69" s="33">
        <f t="shared" si="20"/>
        <v>0</v>
      </c>
      <c r="M69" s="32"/>
      <c r="N69" s="32"/>
      <c r="O69" s="34">
        <f t="shared" si="21"/>
        <v>0</v>
      </c>
      <c r="P69" s="44"/>
      <c r="Q69" s="44"/>
      <c r="R69" s="37">
        <f t="shared" si="22"/>
        <v>0</v>
      </c>
      <c r="S69" s="38">
        <f t="shared" si="23"/>
        <v>0</v>
      </c>
      <c r="T69" s="52"/>
      <c r="U69" s="42">
        <f>IFERROR(__xludf.DUMMYFUNCTION("""COMPUTED_VALUE"""),0.0)</f>
        <v>0</v>
      </c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7"/>
        <v>0</v>
      </c>
      <c r="I70" s="31">
        <f t="shared" si="18"/>
        <v>0</v>
      </c>
      <c r="J70" s="32" t="str">
        <f t="shared" si="19"/>
        <v/>
      </c>
      <c r="K70" s="32"/>
      <c r="L70" s="33">
        <f t="shared" si="20"/>
        <v>0</v>
      </c>
      <c r="M70" s="32"/>
      <c r="N70" s="32"/>
      <c r="O70" s="34">
        <f t="shared" si="21"/>
        <v>0</v>
      </c>
      <c r="P70" s="44"/>
      <c r="Q70" s="44"/>
      <c r="R70" s="37">
        <f t="shared" si="22"/>
        <v>0</v>
      </c>
      <c r="S70" s="38">
        <f t="shared" si="23"/>
        <v>0</v>
      </c>
      <c r="T70" s="39"/>
      <c r="U70" s="42">
        <f>IFERROR(__xludf.DUMMYFUNCTION("""COMPUTED_VALUE"""),0.0)</f>
        <v>0</v>
      </c>
    </row>
    <row r="71" ht="37.5" customHeight="1">
      <c r="B71" s="25">
        <v>13.0</v>
      </c>
      <c r="C71" s="49"/>
      <c r="D71" s="50"/>
      <c r="E71" s="51"/>
      <c r="F71" s="52">
        <f>IFERROR(__xludf.DUMMYFUNCTION("""COMPUTED_VALUE"""),0.0)</f>
        <v>0</v>
      </c>
      <c r="G71" s="45"/>
      <c r="H71" s="31">
        <f t="shared" si="17"/>
        <v>0</v>
      </c>
      <c r="I71" s="31">
        <f t="shared" si="18"/>
        <v>0</v>
      </c>
      <c r="J71" s="32" t="str">
        <f t="shared" si="19"/>
        <v/>
      </c>
      <c r="K71" s="32"/>
      <c r="L71" s="33">
        <f t="shared" si="20"/>
        <v>0</v>
      </c>
      <c r="M71" s="32"/>
      <c r="N71" s="32"/>
      <c r="O71" s="34">
        <f t="shared" si="21"/>
        <v>0</v>
      </c>
      <c r="P71" s="44"/>
      <c r="Q71" s="44"/>
      <c r="R71" s="37">
        <f t="shared" si="22"/>
        <v>0</v>
      </c>
      <c r="S71" s="38">
        <f t="shared" si="23"/>
        <v>0</v>
      </c>
      <c r="T71" s="39"/>
      <c r="U71" s="42">
        <f>IFERROR(__xludf.DUMMYFUNCTION("""COMPUTED_VALUE"""),0.0)</f>
        <v>0</v>
      </c>
    </row>
    <row r="72" ht="37.5" customHeight="1">
      <c r="B72" s="25">
        <v>14.0</v>
      </c>
      <c r="C72" s="49"/>
      <c r="D72" s="50"/>
      <c r="E72" s="51"/>
      <c r="F72" s="52">
        <f>IFERROR(__xludf.DUMMYFUNCTION("""COMPUTED_VALUE"""),0.0)</f>
        <v>0</v>
      </c>
      <c r="G72" s="45"/>
      <c r="H72" s="31">
        <f t="shared" si="17"/>
        <v>0</v>
      </c>
      <c r="I72" s="31">
        <f t="shared" si="18"/>
        <v>0</v>
      </c>
      <c r="J72" s="32" t="str">
        <f t="shared" si="19"/>
        <v/>
      </c>
      <c r="K72" s="32"/>
      <c r="L72" s="33">
        <f t="shared" si="20"/>
        <v>0</v>
      </c>
      <c r="M72" s="32"/>
      <c r="N72" s="32"/>
      <c r="O72" s="34">
        <f t="shared" si="21"/>
        <v>0</v>
      </c>
      <c r="P72" s="44"/>
      <c r="Q72" s="44"/>
      <c r="R72" s="37">
        <f t="shared" si="22"/>
        <v>0</v>
      </c>
      <c r="S72" s="38">
        <f t="shared" si="23"/>
        <v>0</v>
      </c>
      <c r="T72" s="39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7"/>
        <v>0</v>
      </c>
      <c r="I73" s="31">
        <f t="shared" si="18"/>
        <v>0</v>
      </c>
      <c r="J73" s="32" t="str">
        <f t="shared" si="19"/>
        <v/>
      </c>
      <c r="K73" s="32"/>
      <c r="L73" s="33">
        <f t="shared" si="20"/>
        <v>0</v>
      </c>
      <c r="M73" s="32"/>
      <c r="N73" s="32"/>
      <c r="O73" s="34">
        <f t="shared" si="21"/>
        <v>0</v>
      </c>
      <c r="P73" s="44"/>
      <c r="Q73" s="44"/>
      <c r="R73" s="37">
        <f t="shared" si="22"/>
        <v>0</v>
      </c>
      <c r="S73" s="38">
        <f t="shared" si="23"/>
        <v>0</v>
      </c>
      <c r="T73" s="39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7"/>
        <v>0</v>
      </c>
      <c r="I74" s="31">
        <f t="shared" si="18"/>
        <v>0</v>
      </c>
      <c r="J74" s="32" t="str">
        <f t="shared" si="19"/>
        <v/>
      </c>
      <c r="K74" s="32"/>
      <c r="L74" s="33">
        <f t="shared" si="20"/>
        <v>0</v>
      </c>
      <c r="M74" s="32"/>
      <c r="N74" s="32"/>
      <c r="O74" s="34">
        <f t="shared" si="21"/>
        <v>0</v>
      </c>
      <c r="P74" s="44"/>
      <c r="Q74" s="44"/>
      <c r="R74" s="37">
        <f t="shared" si="22"/>
        <v>0</v>
      </c>
      <c r="S74" s="38">
        <f t="shared" si="23"/>
        <v>0</v>
      </c>
      <c r="T74" s="39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7"/>
        <v>0</v>
      </c>
      <c r="I75" s="31">
        <f t="shared" si="18"/>
        <v>0</v>
      </c>
      <c r="J75" s="32" t="str">
        <f t="shared" si="19"/>
        <v/>
      </c>
      <c r="K75" s="32"/>
      <c r="L75" s="33">
        <f t="shared" si="20"/>
        <v>0</v>
      </c>
      <c r="M75" s="32"/>
      <c r="N75" s="32"/>
      <c r="O75" s="34">
        <f t="shared" si="21"/>
        <v>0</v>
      </c>
      <c r="P75" s="44"/>
      <c r="Q75" s="44"/>
      <c r="R75" s="37">
        <f t="shared" si="22"/>
        <v>0</v>
      </c>
      <c r="S75" s="38">
        <f t="shared" si="23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7"/>
        <v>0</v>
      </c>
      <c r="I76" s="31">
        <f t="shared" si="18"/>
        <v>0</v>
      </c>
      <c r="J76" s="32" t="str">
        <f t="shared" si="19"/>
        <v/>
      </c>
      <c r="K76" s="32"/>
      <c r="L76" s="33">
        <f t="shared" si="20"/>
        <v>0</v>
      </c>
      <c r="M76" s="32"/>
      <c r="N76" s="32"/>
      <c r="O76" s="34">
        <f t="shared" si="21"/>
        <v>0</v>
      </c>
      <c r="P76" s="44"/>
      <c r="Q76" s="44"/>
      <c r="R76" s="37">
        <f t="shared" si="22"/>
        <v>0</v>
      </c>
      <c r="S76" s="38">
        <f t="shared" si="23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7"/>
        <v>0</v>
      </c>
      <c r="I77" s="31">
        <f t="shared" si="18"/>
        <v>0</v>
      </c>
      <c r="J77" s="32" t="str">
        <f t="shared" si="19"/>
        <v/>
      </c>
      <c r="K77" s="32"/>
      <c r="L77" s="33">
        <f t="shared" si="20"/>
        <v>0</v>
      </c>
      <c r="M77" s="32"/>
      <c r="N77" s="32"/>
      <c r="O77" s="34">
        <f t="shared" si="21"/>
        <v>0</v>
      </c>
      <c r="P77" s="44"/>
      <c r="Q77" s="44"/>
      <c r="R77" s="37">
        <f t="shared" si="22"/>
        <v>0</v>
      </c>
      <c r="S77" s="38">
        <f t="shared" si="23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7"/>
        <v>0</v>
      </c>
      <c r="I78" s="31">
        <f t="shared" si="18"/>
        <v>0</v>
      </c>
      <c r="J78" s="32" t="str">
        <f t="shared" si="19"/>
        <v/>
      </c>
      <c r="K78" s="32"/>
      <c r="L78" s="33">
        <f t="shared" si="20"/>
        <v>0</v>
      </c>
      <c r="M78" s="32"/>
      <c r="N78" s="32"/>
      <c r="O78" s="34">
        <f t="shared" si="21"/>
        <v>0</v>
      </c>
      <c r="P78" s="44"/>
      <c r="Q78" s="44"/>
      <c r="R78" s="37">
        <f t="shared" si="22"/>
        <v>0</v>
      </c>
      <c r="S78" s="38">
        <f t="shared" si="23"/>
        <v>0</v>
      </c>
      <c r="T78" s="51"/>
      <c r="U78" s="42">
        <f>IFERROR(__xludf.DUMMYFUNCTION("""COMPUTED_VALUE"""),0.0)</f>
        <v>0</v>
      </c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7"/>
        <v>0</v>
      </c>
      <c r="I79" s="31">
        <f t="shared" si="18"/>
        <v>0</v>
      </c>
      <c r="J79" s="32" t="str">
        <f t="shared" si="19"/>
        <v/>
      </c>
      <c r="K79" s="32"/>
      <c r="L79" s="33">
        <f t="shared" si="20"/>
        <v>0</v>
      </c>
      <c r="M79" s="32"/>
      <c r="N79" s="32"/>
      <c r="O79" s="34">
        <f t="shared" si="21"/>
        <v>0</v>
      </c>
      <c r="P79" s="44"/>
      <c r="Q79" s="44"/>
      <c r="R79" s="37">
        <f t="shared" si="22"/>
        <v>0</v>
      </c>
      <c r="S79" s="38">
        <f t="shared" si="23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7"/>
        <v>0</v>
      </c>
      <c r="I80" s="31">
        <f t="shared" si="18"/>
        <v>0</v>
      </c>
      <c r="J80" s="32" t="str">
        <f t="shared" si="19"/>
        <v/>
      </c>
      <c r="K80" s="32"/>
      <c r="L80" s="33">
        <f t="shared" si="20"/>
        <v>0</v>
      </c>
      <c r="M80" s="32"/>
      <c r="N80" s="32"/>
      <c r="O80" s="34">
        <f t="shared" si="21"/>
        <v>0</v>
      </c>
      <c r="P80" s="44"/>
      <c r="Q80" s="44"/>
      <c r="R80" s="37">
        <f t="shared" si="22"/>
        <v>0</v>
      </c>
      <c r="S80" s="38">
        <f t="shared" si="23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3585000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IFERROR(__xludf.DUMMYFUNCTION("IMPORTRANGE(""https://docs.google.com/spreadsheets/d/17TnzcKnlaqlAyM_3lnNpgK5CAOPbscCCRVH50X8UulY/edit?usp=sharing"",""FEBRUARI!B72"")"),"TANGGAL : 23 - 28 FEBRUARI 2026")</f>
        <v>TANGGAL : 23 - 28 FEBRUARI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IFERROR(__xludf.DUMMYFUNCTION("IMPORTRANGE(""https://docs.google.com/spreadsheets/d/17TnzcKnlaqlAyM_3lnNpgK5CAOPbscCCRVH50X8UulY/edit?usp=sharing"",""FEBRUARI!B73:D92"")"),"DENI")</f>
        <v>DENI</v>
      </c>
      <c r="D84" s="27" t="str">
        <f>IFERROR(__xludf.DUMMYFUNCTION("""COMPUTED_VALUE"""),"KEPALA")</f>
        <v>KEPALA</v>
      </c>
      <c r="E84" s="28" t="str">
        <f>IFERROR(__xludf.DUMMYFUNCTION("""COMPUTED_VALUE"""),"SHIFT 1")</f>
        <v>SHIFT 1</v>
      </c>
      <c r="F84" s="52">
        <f>IFERROR(__xludf.DUMMYFUNCTION("IMPORTRANGE(""https://docs.google.com/spreadsheets/d/17TnzcKnlaqlAyM_3lnNpgK5CAOPbscCCRVH50X8UulY/edit?usp=sharing"",""FEBRUARI!K73:K91"")"),6.0)</f>
        <v>6</v>
      </c>
      <c r="G84" s="30">
        <v>110000.0</v>
      </c>
      <c r="H84" s="31">
        <f t="shared" ref="H84:H105" si="24">F84*G84</f>
        <v>660000</v>
      </c>
      <c r="I84" s="31">
        <f t="shared" ref="I84:I105" si="25">F84*10000</f>
        <v>60000</v>
      </c>
      <c r="J84" s="32" t="str">
        <f t="shared" ref="J84:J105" si="26">IF(E84="SHIFT 2",I84,"")</f>
        <v/>
      </c>
      <c r="K84" s="32"/>
      <c r="L84" s="33">
        <f t="shared" ref="L84:L105" si="27">U84*$L$83</f>
        <v>0</v>
      </c>
      <c r="M84" s="32"/>
      <c r="N84" s="32"/>
      <c r="O84" s="34">
        <f t="shared" ref="O84:O105" si="28">SUM(H84:N84)</f>
        <v>720000</v>
      </c>
      <c r="P84" s="79"/>
      <c r="Q84" s="79"/>
      <c r="R84" s="37">
        <f t="shared" ref="R84:R105" si="29">SUM(P84:Q84)</f>
        <v>0</v>
      </c>
      <c r="S84" s="38">
        <f t="shared" ref="S84:S105" si="30">O84-R84</f>
        <v>720000</v>
      </c>
      <c r="T84" s="39" t="str">
        <f>IFERROR(__xludf.DUMMYFUNCTION("IMPORTRANGE(""https://docs.google.com/spreadsheets/d/17TnzcKnlaqlAyM_3lnNpgK5CAOPbscCCRVH50X8UulY/edit?usp=sharing"",""FEBRUARI!L73:L92"")"),"")</f>
        <v/>
      </c>
      <c r="U84" s="42">
        <f>IFERROR(__xludf.DUMMYFUNCTION("IMPORTRANGE(""https://docs.google.com/spreadsheets/d/17TnzcKnlaqlAyM_3lnNpgK5CAOPbscCCRVH50X8UulY/edit?usp=sharing"",""FEBRUARI!U73:U92"")"),0.0)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 t="str">
        <f>IFERROR(__xludf.DUMMYFUNCTION("""COMPUTED_VALUE"""),"SHIFT 1")</f>
        <v>SHIFT 1</v>
      </c>
      <c r="F85" s="52">
        <f>IFERROR(__xludf.DUMMYFUNCTION("""COMPUTED_VALUE"""),6.0)</f>
        <v>6</v>
      </c>
      <c r="G85" s="30">
        <v>70000.0</v>
      </c>
      <c r="H85" s="31">
        <f t="shared" si="24"/>
        <v>420000</v>
      </c>
      <c r="I85" s="31">
        <f t="shared" si="25"/>
        <v>60000</v>
      </c>
      <c r="J85" s="32" t="str">
        <f t="shared" si="26"/>
        <v/>
      </c>
      <c r="K85" s="41"/>
      <c r="L85" s="33">
        <f t="shared" si="27"/>
        <v>0</v>
      </c>
      <c r="M85" s="41"/>
      <c r="N85" s="41"/>
      <c r="O85" s="34">
        <f t="shared" si="28"/>
        <v>480000</v>
      </c>
      <c r="P85" s="79"/>
      <c r="Q85" s="79"/>
      <c r="R85" s="37">
        <f t="shared" si="29"/>
        <v>0</v>
      </c>
      <c r="S85" s="38">
        <f t="shared" si="30"/>
        <v>480000</v>
      </c>
      <c r="T85" s="39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 t="str">
        <f>IFERROR(__xludf.DUMMYFUNCTION("""COMPUTED_VALUE"""),"ANDRI")</f>
        <v>ANDRI</v>
      </c>
      <c r="D86" s="27" t="str">
        <f>IFERROR(__xludf.DUMMYFUNCTION("""COMPUTED_VALUE"""),"DESIGN BORDIR")</f>
        <v>DESIGN BORDIR</v>
      </c>
      <c r="E86" s="28" t="str">
        <f>IFERROR(__xludf.DUMMYFUNCTION("""COMPUTED_VALUE"""),"SHIFT 1")</f>
        <v>SHIFT 1</v>
      </c>
      <c r="F86" s="52">
        <f>IFERROR(__xludf.DUMMYFUNCTION("""COMPUTED_VALUE"""),6.0)</f>
        <v>6</v>
      </c>
      <c r="G86" s="30">
        <v>70000.0</v>
      </c>
      <c r="H86" s="31">
        <f t="shared" si="24"/>
        <v>420000</v>
      </c>
      <c r="I86" s="31">
        <f t="shared" si="25"/>
        <v>60000</v>
      </c>
      <c r="J86" s="32" t="str">
        <f t="shared" si="26"/>
        <v/>
      </c>
      <c r="K86" s="41"/>
      <c r="L86" s="33">
        <f t="shared" si="27"/>
        <v>0</v>
      </c>
      <c r="M86" s="41"/>
      <c r="N86" s="41"/>
      <c r="O86" s="34">
        <f t="shared" si="28"/>
        <v>480000</v>
      </c>
      <c r="P86" s="79"/>
      <c r="Q86" s="79"/>
      <c r="R86" s="37">
        <f t="shared" si="29"/>
        <v>0</v>
      </c>
      <c r="S86" s="38">
        <f t="shared" si="30"/>
        <v>480000</v>
      </c>
      <c r="T86" s="39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IFERROR(__xludf.DUMMYFUNCTION("""COMPUTED_VALUE"""),"ADIT")</f>
        <v>ADIT</v>
      </c>
      <c r="D87" s="27" t="str">
        <f>IFERROR(__xludf.DUMMYFUNCTION("""COMPUTED_VALUE"""),"CREATOR")</f>
        <v>CREATOR</v>
      </c>
      <c r="E87" s="28" t="str">
        <f>IFERROR(__xludf.DUMMYFUNCTION("""COMPUTED_VALUE"""),"SHIFT 1")</f>
        <v>SHIFT 1</v>
      </c>
      <c r="F87" s="52">
        <f>IFERROR(__xludf.DUMMYFUNCTION("""COMPUTED_VALUE"""),6.0)</f>
        <v>6</v>
      </c>
      <c r="G87" s="30">
        <v>50000.0</v>
      </c>
      <c r="H87" s="31">
        <f t="shared" si="24"/>
        <v>300000</v>
      </c>
      <c r="I87" s="31">
        <f t="shared" si="25"/>
        <v>60000</v>
      </c>
      <c r="J87" s="32" t="str">
        <f t="shared" si="26"/>
        <v/>
      </c>
      <c r="K87" s="32"/>
      <c r="L87" s="33">
        <f t="shared" si="27"/>
        <v>0</v>
      </c>
      <c r="M87" s="32"/>
      <c r="N87" s="32"/>
      <c r="O87" s="34">
        <f t="shared" si="28"/>
        <v>360000</v>
      </c>
      <c r="P87" s="79"/>
      <c r="Q87" s="79"/>
      <c r="R87" s="37">
        <f t="shared" si="29"/>
        <v>0</v>
      </c>
      <c r="S87" s="38">
        <f t="shared" si="30"/>
        <v>360000</v>
      </c>
      <c r="T87" s="39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IFERROR(__xludf.DUMMYFUNCTION("""COMPUTED_VALUE"""),"EPUL")</f>
        <v>EPUL</v>
      </c>
      <c r="D88" s="27" t="str">
        <f>IFERROR(__xludf.DUMMYFUNCTION("""COMPUTED_VALUE"""),"DESIGN BORDIR")</f>
        <v>DESIGN BORDIR</v>
      </c>
      <c r="E88" s="28" t="str">
        <f>IFERROR(__xludf.DUMMYFUNCTION("""COMPUTED_VALUE"""),"SHIFT 1")</f>
        <v>SHIFT 1</v>
      </c>
      <c r="F88" s="52">
        <f>IFERROR(__xludf.DUMMYFUNCTION("""COMPUTED_VALUE"""),6.0)</f>
        <v>6</v>
      </c>
      <c r="G88" s="30">
        <v>70000.0</v>
      </c>
      <c r="H88" s="31">
        <f t="shared" si="24"/>
        <v>420000</v>
      </c>
      <c r="I88" s="31">
        <f t="shared" si="25"/>
        <v>60000</v>
      </c>
      <c r="J88" s="32" t="str">
        <f t="shared" si="26"/>
        <v/>
      </c>
      <c r="K88" s="32"/>
      <c r="L88" s="33">
        <f t="shared" si="27"/>
        <v>0</v>
      </c>
      <c r="M88" s="32"/>
      <c r="N88" s="32"/>
      <c r="O88" s="34">
        <f t="shared" si="28"/>
        <v>480000</v>
      </c>
      <c r="P88" s="79"/>
      <c r="Q88" s="79"/>
      <c r="R88" s="37">
        <f t="shared" si="29"/>
        <v>0</v>
      </c>
      <c r="S88" s="38">
        <f t="shared" si="30"/>
        <v>480000</v>
      </c>
      <c r="T88" s="39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 t="str">
        <f>IFERROR(__xludf.DUMMYFUNCTION("""COMPUTED_VALUE"""),"SHIFT 1")</f>
        <v>SHIFT 1</v>
      </c>
      <c r="F89" s="52">
        <f>IFERROR(__xludf.DUMMYFUNCTION("""COMPUTED_VALUE"""),6.0)</f>
        <v>6</v>
      </c>
      <c r="G89" s="30">
        <v>70000.0</v>
      </c>
      <c r="H89" s="31">
        <f t="shared" si="24"/>
        <v>420000</v>
      </c>
      <c r="I89" s="31">
        <f t="shared" si="25"/>
        <v>60000</v>
      </c>
      <c r="J89" s="32" t="str">
        <f t="shared" si="26"/>
        <v/>
      </c>
      <c r="K89" s="32"/>
      <c r="L89" s="33">
        <f t="shared" si="27"/>
        <v>0</v>
      </c>
      <c r="M89" s="32"/>
      <c r="N89" s="32"/>
      <c r="O89" s="34">
        <f t="shared" si="28"/>
        <v>480000</v>
      </c>
      <c r="P89" s="79"/>
      <c r="Q89" s="79"/>
      <c r="R89" s="37">
        <f t="shared" si="29"/>
        <v>0</v>
      </c>
      <c r="S89" s="38">
        <f t="shared" si="30"/>
        <v>480000</v>
      </c>
      <c r="T89" s="39"/>
      <c r="U89" s="42">
        <f>IFERROR(__xludf.DUMMYFUNCTION("""COMPUTED_VALUE"""),0.0)</f>
        <v>0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 t="str">
        <f>IFERROR(__xludf.DUMMYFUNCTION("""COMPUTED_VALUE"""),"SHIFT 1")</f>
        <v>SHIFT 1</v>
      </c>
      <c r="F90" s="52">
        <f>IFERROR(__xludf.DUMMYFUNCTION("""COMPUTED_VALUE"""),6.0)</f>
        <v>6</v>
      </c>
      <c r="G90" s="30">
        <v>70000.0</v>
      </c>
      <c r="H90" s="31">
        <f t="shared" si="24"/>
        <v>420000</v>
      </c>
      <c r="I90" s="31">
        <f t="shared" si="25"/>
        <v>60000</v>
      </c>
      <c r="J90" s="32" t="str">
        <f t="shared" si="26"/>
        <v/>
      </c>
      <c r="K90" s="32"/>
      <c r="L90" s="33">
        <f t="shared" si="27"/>
        <v>0</v>
      </c>
      <c r="M90" s="32"/>
      <c r="N90" s="32"/>
      <c r="O90" s="34">
        <f t="shared" si="28"/>
        <v>480000</v>
      </c>
      <c r="P90" s="79"/>
      <c r="Q90" s="79"/>
      <c r="R90" s="37">
        <f t="shared" si="29"/>
        <v>0</v>
      </c>
      <c r="S90" s="38">
        <f t="shared" si="30"/>
        <v>480000</v>
      </c>
      <c r="T90" s="39"/>
      <c r="U90" s="42">
        <f>IFERROR(__xludf.DUMMYFUNCTION("""COMPUTED_VALUE"""),0.0)</f>
        <v>0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 t="str">
        <f>IFERROR(__xludf.DUMMYFUNCTION("""COMPUTED_VALUE"""),"SHIFT 1")</f>
        <v>SHIFT 1</v>
      </c>
      <c r="F91" s="52">
        <f>IFERROR(__xludf.DUMMYFUNCTION("""COMPUTED_VALUE"""),6.0)</f>
        <v>6</v>
      </c>
      <c r="G91" s="30">
        <v>50000.0</v>
      </c>
      <c r="H91" s="31">
        <f t="shared" si="24"/>
        <v>300000</v>
      </c>
      <c r="I91" s="31">
        <f t="shared" si="25"/>
        <v>60000</v>
      </c>
      <c r="J91" s="32" t="str">
        <f t="shared" si="26"/>
        <v/>
      </c>
      <c r="K91" s="32"/>
      <c r="L91" s="33">
        <f t="shared" si="27"/>
        <v>0</v>
      </c>
      <c r="M91" s="32"/>
      <c r="N91" s="32"/>
      <c r="O91" s="34">
        <f t="shared" si="28"/>
        <v>360000</v>
      </c>
      <c r="P91" s="79"/>
      <c r="Q91" s="79"/>
      <c r="R91" s="37">
        <f t="shared" si="29"/>
        <v>0</v>
      </c>
      <c r="S91" s="38">
        <f t="shared" si="30"/>
        <v>360000</v>
      </c>
      <c r="T91" s="39"/>
      <c r="U91" s="42">
        <f>IFERROR(__xludf.DUMMYFUNCTION("""COMPUTED_VALUE"""),0.0)</f>
        <v>0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 t="str">
        <f>IFERROR(__xludf.DUMMYFUNCTION("""COMPUTED_VALUE"""),"SHIFT 1")</f>
        <v>SHIFT 1</v>
      </c>
      <c r="F92" s="52">
        <f>IFERROR(__xludf.DUMMYFUNCTION("""COMPUTED_VALUE"""),6.0)</f>
        <v>6</v>
      </c>
      <c r="G92" s="30">
        <v>50000.0</v>
      </c>
      <c r="H92" s="31">
        <f t="shared" si="24"/>
        <v>300000</v>
      </c>
      <c r="I92" s="31">
        <f t="shared" si="25"/>
        <v>60000</v>
      </c>
      <c r="J92" s="32" t="str">
        <f t="shared" si="26"/>
        <v/>
      </c>
      <c r="K92" s="32"/>
      <c r="L92" s="33">
        <f t="shared" si="27"/>
        <v>0</v>
      </c>
      <c r="M92" s="32"/>
      <c r="N92" s="32"/>
      <c r="O92" s="34">
        <f t="shared" si="28"/>
        <v>360000</v>
      </c>
      <c r="P92" s="79"/>
      <c r="Q92" s="79"/>
      <c r="R92" s="37">
        <f t="shared" si="29"/>
        <v>0</v>
      </c>
      <c r="S92" s="38">
        <f t="shared" si="30"/>
        <v>360000</v>
      </c>
      <c r="T92" s="39"/>
      <c r="U92" s="42">
        <f>IFERROR(__xludf.DUMMYFUNCTION("""COMPUTED_VALUE"""),0.0)</f>
        <v>0</v>
      </c>
    </row>
    <row r="93" ht="37.5" customHeight="1">
      <c r="B93" s="25">
        <v>10.0</v>
      </c>
      <c r="C93" s="49"/>
      <c r="D93" s="50"/>
      <c r="E93" s="51"/>
      <c r="F93" s="52">
        <f>IFERROR(__xludf.DUMMYFUNCTION("""COMPUTED_VALUE"""),0.0)</f>
        <v>0</v>
      </c>
      <c r="G93" s="45"/>
      <c r="H93" s="31">
        <f t="shared" si="24"/>
        <v>0</v>
      </c>
      <c r="I93" s="31">
        <f t="shared" si="25"/>
        <v>0</v>
      </c>
      <c r="J93" s="32" t="str">
        <f t="shared" si="26"/>
        <v/>
      </c>
      <c r="K93" s="32"/>
      <c r="L93" s="33">
        <f t="shared" si="27"/>
        <v>0</v>
      </c>
      <c r="M93" s="32"/>
      <c r="N93" s="32"/>
      <c r="O93" s="34">
        <f t="shared" si="28"/>
        <v>0</v>
      </c>
      <c r="P93" s="79"/>
      <c r="Q93" s="79"/>
      <c r="R93" s="37">
        <f t="shared" si="29"/>
        <v>0</v>
      </c>
      <c r="S93" s="38">
        <f t="shared" si="30"/>
        <v>0</v>
      </c>
      <c r="T93" s="39"/>
      <c r="U93" s="42">
        <f>IFERROR(__xludf.DUMMYFUNCTION("""COMPUTED_VALUE"""),0.0)</f>
        <v>0</v>
      </c>
    </row>
    <row r="94" ht="37.5" customHeight="1">
      <c r="B94" s="25">
        <v>11.0</v>
      </c>
      <c r="C94" s="49"/>
      <c r="D94" s="50"/>
      <c r="E94" s="51"/>
      <c r="F94" s="52">
        <f>IFERROR(__xludf.DUMMYFUNCTION("""COMPUTED_VALUE"""),0.0)</f>
        <v>0</v>
      </c>
      <c r="G94" s="45"/>
      <c r="H94" s="31">
        <f t="shared" si="24"/>
        <v>0</v>
      </c>
      <c r="I94" s="31">
        <f t="shared" si="25"/>
        <v>0</v>
      </c>
      <c r="J94" s="32" t="str">
        <f t="shared" si="26"/>
        <v/>
      </c>
      <c r="K94" s="32"/>
      <c r="L94" s="33">
        <f t="shared" si="27"/>
        <v>0</v>
      </c>
      <c r="M94" s="32"/>
      <c r="N94" s="32"/>
      <c r="O94" s="34">
        <f t="shared" si="28"/>
        <v>0</v>
      </c>
      <c r="P94" s="79"/>
      <c r="Q94" s="79"/>
      <c r="R94" s="37">
        <f t="shared" si="29"/>
        <v>0</v>
      </c>
      <c r="S94" s="38">
        <f t="shared" si="30"/>
        <v>0</v>
      </c>
      <c r="T94" s="39"/>
      <c r="U94" s="42">
        <f>IFERROR(__xludf.DUMMYFUNCTION("""COMPUTED_VALUE"""),0.0)</f>
        <v>0</v>
      </c>
    </row>
    <row r="95" ht="37.5" customHeight="1">
      <c r="B95" s="25">
        <v>12.0</v>
      </c>
      <c r="C95" s="49"/>
      <c r="D95" s="50"/>
      <c r="E95" s="51"/>
      <c r="F95" s="52">
        <f>IFERROR(__xludf.DUMMYFUNCTION("""COMPUTED_VALUE"""),0.0)</f>
        <v>0</v>
      </c>
      <c r="G95" s="45"/>
      <c r="H95" s="31">
        <f t="shared" si="24"/>
        <v>0</v>
      </c>
      <c r="I95" s="31">
        <f t="shared" si="25"/>
        <v>0</v>
      </c>
      <c r="J95" s="32" t="str">
        <f t="shared" si="26"/>
        <v/>
      </c>
      <c r="K95" s="32"/>
      <c r="L95" s="33">
        <f t="shared" si="27"/>
        <v>0</v>
      </c>
      <c r="M95" s="32"/>
      <c r="N95" s="32"/>
      <c r="O95" s="34">
        <f t="shared" si="28"/>
        <v>0</v>
      </c>
      <c r="P95" s="79"/>
      <c r="Q95" s="79"/>
      <c r="R95" s="37">
        <f t="shared" si="29"/>
        <v>0</v>
      </c>
      <c r="S95" s="38">
        <f t="shared" si="30"/>
        <v>0</v>
      </c>
      <c r="T95" s="39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51"/>
      <c r="F96" s="52">
        <f>IFERROR(__xludf.DUMMYFUNCTION("""COMPUTED_VALUE"""),0.0)</f>
        <v>0</v>
      </c>
      <c r="G96" s="45"/>
      <c r="H96" s="31">
        <f t="shared" si="24"/>
        <v>0</v>
      </c>
      <c r="I96" s="31">
        <f t="shared" si="25"/>
        <v>0</v>
      </c>
      <c r="J96" s="32" t="str">
        <f t="shared" si="26"/>
        <v/>
      </c>
      <c r="K96" s="32"/>
      <c r="L96" s="33">
        <f t="shared" si="27"/>
        <v>0</v>
      </c>
      <c r="M96" s="32"/>
      <c r="N96" s="32"/>
      <c r="O96" s="34">
        <f t="shared" si="28"/>
        <v>0</v>
      </c>
      <c r="P96" s="79"/>
      <c r="Q96" s="79"/>
      <c r="R96" s="37">
        <f t="shared" si="29"/>
        <v>0</v>
      </c>
      <c r="S96" s="38">
        <f t="shared" si="30"/>
        <v>0</v>
      </c>
      <c r="T96" s="39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51"/>
      <c r="F97" s="52">
        <f>IFERROR(__xludf.DUMMYFUNCTION("""COMPUTED_VALUE"""),0.0)</f>
        <v>0</v>
      </c>
      <c r="G97" s="45"/>
      <c r="H97" s="31">
        <f t="shared" si="24"/>
        <v>0</v>
      </c>
      <c r="I97" s="31">
        <f t="shared" si="25"/>
        <v>0</v>
      </c>
      <c r="J97" s="32" t="str">
        <f t="shared" si="26"/>
        <v/>
      </c>
      <c r="K97" s="32"/>
      <c r="L97" s="33">
        <f t="shared" si="27"/>
        <v>0</v>
      </c>
      <c r="M97" s="32"/>
      <c r="N97" s="32"/>
      <c r="O97" s="34">
        <f t="shared" si="28"/>
        <v>0</v>
      </c>
      <c r="P97" s="79"/>
      <c r="Q97" s="79"/>
      <c r="R97" s="37">
        <f t="shared" si="29"/>
        <v>0</v>
      </c>
      <c r="S97" s="38">
        <f t="shared" si="30"/>
        <v>0</v>
      </c>
      <c r="T97" s="39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0"/>
      <c r="E98" s="51"/>
      <c r="F98" s="52">
        <f>IFERROR(__xludf.DUMMYFUNCTION("""COMPUTED_VALUE"""),0.0)</f>
        <v>0</v>
      </c>
      <c r="G98" s="45"/>
      <c r="H98" s="31">
        <f t="shared" si="24"/>
        <v>0</v>
      </c>
      <c r="I98" s="31">
        <f t="shared" si="25"/>
        <v>0</v>
      </c>
      <c r="J98" s="32" t="str">
        <f t="shared" si="26"/>
        <v/>
      </c>
      <c r="K98" s="32"/>
      <c r="L98" s="33">
        <f t="shared" si="27"/>
        <v>0</v>
      </c>
      <c r="M98" s="32"/>
      <c r="N98" s="32"/>
      <c r="O98" s="34">
        <f t="shared" si="28"/>
        <v>0</v>
      </c>
      <c r="P98" s="79"/>
      <c r="Q98" s="79"/>
      <c r="R98" s="37">
        <f t="shared" si="29"/>
        <v>0</v>
      </c>
      <c r="S98" s="38">
        <f t="shared" si="30"/>
        <v>0</v>
      </c>
      <c r="T98" s="39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4"/>
        <v>0</v>
      </c>
      <c r="I99" s="31">
        <f t="shared" si="25"/>
        <v>0</v>
      </c>
      <c r="J99" s="32" t="str">
        <f t="shared" si="26"/>
        <v/>
      </c>
      <c r="K99" s="32"/>
      <c r="L99" s="33">
        <f t="shared" si="27"/>
        <v>0</v>
      </c>
      <c r="M99" s="32"/>
      <c r="N99" s="32"/>
      <c r="O99" s="34">
        <f t="shared" si="28"/>
        <v>0</v>
      </c>
      <c r="P99" s="79"/>
      <c r="Q99" s="79"/>
      <c r="R99" s="37">
        <f t="shared" si="29"/>
        <v>0</v>
      </c>
      <c r="S99" s="38">
        <f t="shared" si="30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4"/>
        <v>0</v>
      </c>
      <c r="I100" s="31">
        <f t="shared" si="25"/>
        <v>0</v>
      </c>
      <c r="J100" s="32" t="str">
        <f t="shared" si="26"/>
        <v/>
      </c>
      <c r="K100" s="32"/>
      <c r="L100" s="33">
        <f t="shared" si="27"/>
        <v>0</v>
      </c>
      <c r="M100" s="32"/>
      <c r="N100" s="32"/>
      <c r="O100" s="34">
        <f t="shared" si="28"/>
        <v>0</v>
      </c>
      <c r="P100" s="79"/>
      <c r="Q100" s="79"/>
      <c r="R100" s="37">
        <f t="shared" si="29"/>
        <v>0</v>
      </c>
      <c r="S100" s="38">
        <f t="shared" si="30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4"/>
        <v>0</v>
      </c>
      <c r="I101" s="31">
        <f t="shared" si="25"/>
        <v>0</v>
      </c>
      <c r="J101" s="32" t="str">
        <f t="shared" si="26"/>
        <v/>
      </c>
      <c r="K101" s="32"/>
      <c r="L101" s="33">
        <f t="shared" si="27"/>
        <v>0</v>
      </c>
      <c r="M101" s="32"/>
      <c r="N101" s="32"/>
      <c r="O101" s="34">
        <f t="shared" si="28"/>
        <v>0</v>
      </c>
      <c r="P101" s="79"/>
      <c r="Q101" s="79"/>
      <c r="R101" s="37">
        <f t="shared" si="29"/>
        <v>0</v>
      </c>
      <c r="S101" s="38">
        <f t="shared" si="30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4"/>
        <v>0</v>
      </c>
      <c r="I102" s="31">
        <f t="shared" si="25"/>
        <v>0</v>
      </c>
      <c r="J102" s="32" t="str">
        <f t="shared" si="26"/>
        <v/>
      </c>
      <c r="K102" s="32"/>
      <c r="L102" s="33">
        <f t="shared" si="27"/>
        <v>0</v>
      </c>
      <c r="M102" s="32"/>
      <c r="N102" s="32"/>
      <c r="O102" s="34">
        <f t="shared" si="28"/>
        <v>0</v>
      </c>
      <c r="P102" s="79"/>
      <c r="Q102" s="79"/>
      <c r="R102" s="37">
        <f t="shared" si="29"/>
        <v>0</v>
      </c>
      <c r="S102" s="38">
        <f t="shared" si="30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4"/>
        <v>0</v>
      </c>
      <c r="I103" s="31">
        <f t="shared" si="25"/>
        <v>0</v>
      </c>
      <c r="J103" s="32" t="str">
        <f t="shared" si="26"/>
        <v/>
      </c>
      <c r="K103" s="32"/>
      <c r="L103" s="33">
        <f t="shared" si="27"/>
        <v>0</v>
      </c>
      <c r="M103" s="32"/>
      <c r="N103" s="32"/>
      <c r="O103" s="34">
        <f t="shared" si="28"/>
        <v>0</v>
      </c>
      <c r="P103" s="80"/>
      <c r="Q103" s="80"/>
      <c r="R103" s="37">
        <f t="shared" si="29"/>
        <v>0</v>
      </c>
      <c r="S103" s="38">
        <f t="shared" si="30"/>
        <v>0</v>
      </c>
      <c r="T103" s="51"/>
      <c r="U103" s="42">
        <f>IFERROR(__xludf.DUMMYFUNCTION("""COMPUTED_VALUE"""),0.0)</f>
        <v>0</v>
      </c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4"/>
        <v>0</v>
      </c>
      <c r="I104" s="31">
        <f t="shared" si="25"/>
        <v>0</v>
      </c>
      <c r="J104" s="32" t="str">
        <f t="shared" si="26"/>
        <v/>
      </c>
      <c r="K104" s="32"/>
      <c r="L104" s="33">
        <f t="shared" si="27"/>
        <v>0</v>
      </c>
      <c r="M104" s="32"/>
      <c r="N104" s="32"/>
      <c r="O104" s="34">
        <f t="shared" si="28"/>
        <v>0</v>
      </c>
      <c r="P104" s="44"/>
      <c r="Q104" s="44"/>
      <c r="R104" s="37">
        <f t="shared" si="29"/>
        <v>0</v>
      </c>
      <c r="S104" s="38">
        <f t="shared" si="30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4"/>
        <v>0</v>
      </c>
      <c r="I105" s="31">
        <f t="shared" si="25"/>
        <v>0</v>
      </c>
      <c r="J105" s="32" t="str">
        <f t="shared" si="26"/>
        <v/>
      </c>
      <c r="K105" s="32"/>
      <c r="L105" s="33">
        <f t="shared" si="27"/>
        <v>0</v>
      </c>
      <c r="M105" s="32"/>
      <c r="N105" s="32"/>
      <c r="O105" s="34">
        <f t="shared" si="28"/>
        <v>0</v>
      </c>
      <c r="P105" s="44"/>
      <c r="Q105" s="44"/>
      <c r="R105" s="37">
        <f t="shared" si="29"/>
        <v>0</v>
      </c>
      <c r="S105" s="38">
        <f t="shared" si="30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4200000</v>
      </c>
      <c r="T106" s="57"/>
      <c r="U106" s="58"/>
    </row>
    <row r="107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>
      <c r="B108" s="67" t="s">
        <v>21</v>
      </c>
      <c r="F108" s="68">
        <f>S31+S56+S81+S106</f>
        <v>15985000</v>
      </c>
      <c r="T108" s="69"/>
    </row>
    <row r="113">
      <c r="L113" s="70" t="s">
        <v>22</v>
      </c>
    </row>
  </sheetData>
  <mergeCells count="22">
    <mergeCell ref="B2:E3"/>
    <mergeCell ref="F2:T3"/>
    <mergeCell ref="H4:O4"/>
    <mergeCell ref="P4:R4"/>
    <mergeCell ref="S4:S5"/>
    <mergeCell ref="T4:T5"/>
    <mergeCell ref="U4:U5"/>
    <mergeCell ref="B81:E81"/>
    <mergeCell ref="F81:R81"/>
    <mergeCell ref="B83:E83"/>
    <mergeCell ref="B106:E106"/>
    <mergeCell ref="F106:R106"/>
    <mergeCell ref="B108:E108"/>
    <mergeCell ref="F108:S108"/>
    <mergeCell ref="T108:U108"/>
    <mergeCell ref="B8:E8"/>
    <mergeCell ref="B31:E31"/>
    <mergeCell ref="F31:R31"/>
    <mergeCell ref="B33:E33"/>
    <mergeCell ref="B56:E56"/>
    <mergeCell ref="F56:R56"/>
    <mergeCell ref="B58:E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30.38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20.38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IFERROR(__xludf.DUMMYFUNCTION("IMPORTRANGE(""https://docs.google.com/spreadsheets/d/17TnzcKnlaqlAyM_3lnNpgK5CAOPbscCCRVH50X8UulY/edit?usp=sharing"",""MARET!B2"")"),46082.0)</f>
        <v>46082</v>
      </c>
      <c r="C2" s="2"/>
      <c r="D2" s="2"/>
      <c r="E2" s="3"/>
      <c r="F2" s="81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82" t="str">
        <f>IFERROR(__xludf.DUMMYFUNCTION("IMPORTRANGE(""https://docs.google.com/spreadsheets/d/17TnzcKnlaqlAyM_3lnNpgK5CAOPbscCCRVH50X8UulY/edit?usp=sharing"",""MARET!B6"")"),"TANGGAL : 2-7 MARET 2026")</f>
        <v>TANGGAL : 2-7 MARET 2026</v>
      </c>
      <c r="F8" s="83"/>
      <c r="G8" s="83"/>
      <c r="H8" s="83"/>
      <c r="I8" s="83"/>
      <c r="J8" s="83"/>
      <c r="K8" s="83"/>
      <c r="L8" s="84">
        <v>15000.0</v>
      </c>
      <c r="M8" s="83"/>
      <c r="N8" s="83"/>
      <c r="O8" s="83"/>
      <c r="P8" s="83"/>
      <c r="Q8" s="83"/>
      <c r="R8" s="83"/>
      <c r="S8" s="83"/>
      <c r="T8" s="83"/>
      <c r="U8" s="85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IFERROR(__xludf.DUMMYFUNCTION("IMPORTRANGE(""https://docs.google.com/spreadsheets/d/17TnzcKnlaqlAyM_3lnNpgK5CAOPbscCCRVH50X8UulY/edit?usp=sharing"",""MARET!B7:D26"")"),"DENI")</f>
        <v>DENI</v>
      </c>
      <c r="D9" s="27" t="str">
        <f>IFERROR(__xludf.DUMMYFUNCTION("""COMPUTED_VALUE"""),"KEPALA")</f>
        <v>KEPALA</v>
      </c>
      <c r="E9" s="28" t="str">
        <f>IFERROR(__xludf.DUMMYFUNCTION("""COMPUTED_VALUE"""),"SHIFT 1")</f>
        <v>SHIFT 1</v>
      </c>
      <c r="F9" s="86">
        <f>IFERROR(__xludf.DUMMYFUNCTION("IMPORTRANGE(""https://docs.google.com/spreadsheets/d/17TnzcKnlaqlAyM_3lnNpgK5CAOPbscCCRVH50X8UulY/edit?usp=sharing"",""MARET!K7:K25"")"),5.0)</f>
        <v>5</v>
      </c>
      <c r="G9" s="30">
        <v>110000.0</v>
      </c>
      <c r="H9" s="87">
        <f t="shared" ref="H9:H30" si="1">F9*G9</f>
        <v>550000</v>
      </c>
      <c r="I9" s="87">
        <f t="shared" ref="I9:I30" si="2">F9*10000</f>
        <v>50000</v>
      </c>
      <c r="J9" s="88" t="str">
        <f t="shared" ref="J9:J22" si="3">IF(E9="SHIFT 2",I9,"")</f>
        <v/>
      </c>
      <c r="K9" s="88"/>
      <c r="L9" s="89">
        <f t="shared" ref="L9:L30" si="4">U9*$L$8</f>
        <v>0</v>
      </c>
      <c r="M9" s="88"/>
      <c r="N9" s="88"/>
      <c r="O9" s="90">
        <f t="shared" ref="O9:O30" si="5">SUM(H9:N9)</f>
        <v>600000</v>
      </c>
      <c r="P9" s="91"/>
      <c r="Q9" s="91"/>
      <c r="R9" s="92">
        <f t="shared" ref="R9:R30" si="6">SUM(P9:Q9)</f>
        <v>0</v>
      </c>
      <c r="S9" s="93">
        <f t="shared" ref="S9:S30" si="7">O9-R9</f>
        <v>600000</v>
      </c>
      <c r="T9" s="94" t="str">
        <f>IFERROR(__xludf.DUMMYFUNCTION("IMPORTRANGE(""https://docs.google.com/spreadsheets/d/17TnzcKnlaqlAyM_3lnNpgK5CAOPbscCCRVH50X8UulY/edit?usp=sharing"",""MARET!L7:L26"")"),"")</f>
        <v/>
      </c>
      <c r="U9" s="95">
        <f>IFERROR(__xludf.DUMMYFUNCTION("IMPORTRANGE(""https://docs.google.com/spreadsheets/d/17TnzcKnlaqlAyM_3lnNpgK5CAOPbscCCRVH50X8UulY/edit?usp=sharing"",""MARET!U7:U26"")"),0.0)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 t="str">
        <f>IFERROR(__xludf.DUMMYFUNCTION("""COMPUTED_VALUE"""),"SHIFT 1")</f>
        <v>SHIFT 1</v>
      </c>
      <c r="F10" s="86">
        <f>IFERROR(__xludf.DUMMYFUNCTION("""COMPUTED_VALUE"""),6.0)</f>
        <v>6</v>
      </c>
      <c r="G10" s="30">
        <v>70000.0</v>
      </c>
      <c r="H10" s="87">
        <f t="shared" si="1"/>
        <v>420000</v>
      </c>
      <c r="I10" s="87">
        <f t="shared" si="2"/>
        <v>60000</v>
      </c>
      <c r="J10" s="88" t="str">
        <f t="shared" si="3"/>
        <v/>
      </c>
      <c r="K10" s="96"/>
      <c r="L10" s="89">
        <f t="shared" si="4"/>
        <v>0</v>
      </c>
      <c r="M10" s="96"/>
      <c r="N10" s="96"/>
      <c r="O10" s="90">
        <f t="shared" si="5"/>
        <v>480000</v>
      </c>
      <c r="P10" s="91"/>
      <c r="Q10" s="91"/>
      <c r="R10" s="92">
        <f t="shared" si="6"/>
        <v>0</v>
      </c>
      <c r="S10" s="93">
        <f t="shared" si="7"/>
        <v>480000</v>
      </c>
      <c r="T10" s="94"/>
      <c r="U10" s="95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 t="str">
        <f>IFERROR(__xludf.DUMMYFUNCTION("""COMPUTED_VALUE"""),"ANDRI")</f>
        <v>ANDRI</v>
      </c>
      <c r="D11" s="27" t="str">
        <f>IFERROR(__xludf.DUMMYFUNCTION("""COMPUTED_VALUE"""),"DESIGN BORDIR")</f>
        <v>DESIGN BORDIR</v>
      </c>
      <c r="E11" s="28" t="str">
        <f>IFERROR(__xludf.DUMMYFUNCTION("""COMPUTED_VALUE"""),"SHIFT 1")</f>
        <v>SHIFT 1</v>
      </c>
      <c r="F11" s="86">
        <f>IFERROR(__xludf.DUMMYFUNCTION("""COMPUTED_VALUE"""),6.0)</f>
        <v>6</v>
      </c>
      <c r="G11" s="30">
        <v>70000.0</v>
      </c>
      <c r="H11" s="87">
        <f t="shared" si="1"/>
        <v>420000</v>
      </c>
      <c r="I11" s="87">
        <f t="shared" si="2"/>
        <v>60000</v>
      </c>
      <c r="J11" s="88" t="str">
        <f t="shared" si="3"/>
        <v/>
      </c>
      <c r="K11" s="96"/>
      <c r="L11" s="89">
        <f t="shared" si="4"/>
        <v>0</v>
      </c>
      <c r="M11" s="96"/>
      <c r="N11" s="96"/>
      <c r="O11" s="90">
        <f t="shared" si="5"/>
        <v>480000</v>
      </c>
      <c r="P11" s="91"/>
      <c r="Q11" s="91"/>
      <c r="R11" s="92">
        <f t="shared" si="6"/>
        <v>0</v>
      </c>
      <c r="S11" s="93">
        <f t="shared" si="7"/>
        <v>480000</v>
      </c>
      <c r="T11" s="94"/>
      <c r="U11" s="95">
        <f>IFERROR(__xludf.DUMMYFUNCTION("""COMPUTED_VALUE"""),0.0)</f>
        <v>0</v>
      </c>
      <c r="V11" s="24"/>
      <c r="W11" s="24"/>
    </row>
    <row r="12" ht="37.5" customHeight="1">
      <c r="A12" s="24"/>
      <c r="B12" s="97">
        <v>4.0</v>
      </c>
      <c r="C12" s="26" t="str">
        <f>IFERROR(__xludf.DUMMYFUNCTION("""COMPUTED_VALUE"""),"ADIT")</f>
        <v>ADIT</v>
      </c>
      <c r="D12" s="27" t="str">
        <f>IFERROR(__xludf.DUMMYFUNCTION("""COMPUTED_VALUE"""),"CREATOR")</f>
        <v>CREATOR</v>
      </c>
      <c r="E12" s="28" t="str">
        <f>IFERROR(__xludf.DUMMYFUNCTION("""COMPUTED_VALUE"""),"SHIFT 1")</f>
        <v>SHIFT 1</v>
      </c>
      <c r="F12" s="86">
        <f>IFERROR(__xludf.DUMMYFUNCTION("""COMPUTED_VALUE"""),3.0)</f>
        <v>3</v>
      </c>
      <c r="G12" s="30">
        <v>50000.0</v>
      </c>
      <c r="H12" s="87">
        <f t="shared" si="1"/>
        <v>150000</v>
      </c>
      <c r="I12" s="87">
        <f t="shared" si="2"/>
        <v>30000</v>
      </c>
      <c r="J12" s="88" t="str">
        <f t="shared" si="3"/>
        <v/>
      </c>
      <c r="K12" s="88"/>
      <c r="L12" s="89">
        <f t="shared" si="4"/>
        <v>0</v>
      </c>
      <c r="M12" s="88"/>
      <c r="N12" s="88"/>
      <c r="O12" s="90">
        <f t="shared" si="5"/>
        <v>180000</v>
      </c>
      <c r="P12" s="91"/>
      <c r="Q12" s="91"/>
      <c r="R12" s="92">
        <f t="shared" si="6"/>
        <v>0</v>
      </c>
      <c r="S12" s="93">
        <f t="shared" si="7"/>
        <v>180000</v>
      </c>
      <c r="T12" s="94"/>
      <c r="U12" s="95">
        <f>IFERROR(__xludf.DUMMYFUNCTION("""COMPUTED_VALUE"""),0.0)</f>
        <v>0</v>
      </c>
      <c r="V12" s="24"/>
      <c r="W12" s="24"/>
    </row>
    <row r="13" ht="37.5" customHeight="1">
      <c r="A13" s="24"/>
      <c r="B13" s="97">
        <v>5.0</v>
      </c>
      <c r="C13" s="26" t="str">
        <f>IFERROR(__xludf.DUMMYFUNCTION("""COMPUTED_VALUE"""),"EPUL")</f>
        <v>EPUL</v>
      </c>
      <c r="D13" s="27" t="str">
        <f>IFERROR(__xludf.DUMMYFUNCTION("""COMPUTED_VALUE"""),"DESIGN BORDIR")</f>
        <v>DESIGN BORDIR</v>
      </c>
      <c r="E13" s="28" t="str">
        <f>IFERROR(__xludf.DUMMYFUNCTION("""COMPUTED_VALUE"""),"SHIFT 1")</f>
        <v>SHIFT 1</v>
      </c>
      <c r="F13" s="86">
        <f>IFERROR(__xludf.DUMMYFUNCTION("""COMPUTED_VALUE"""),6.0)</f>
        <v>6</v>
      </c>
      <c r="G13" s="30">
        <v>70000.0</v>
      </c>
      <c r="H13" s="87">
        <f t="shared" si="1"/>
        <v>420000</v>
      </c>
      <c r="I13" s="87">
        <f t="shared" si="2"/>
        <v>60000</v>
      </c>
      <c r="J13" s="88" t="str">
        <f t="shared" si="3"/>
        <v/>
      </c>
      <c r="K13" s="88"/>
      <c r="L13" s="89">
        <f t="shared" si="4"/>
        <v>0</v>
      </c>
      <c r="M13" s="88"/>
      <c r="N13" s="88"/>
      <c r="O13" s="90">
        <f t="shared" si="5"/>
        <v>480000</v>
      </c>
      <c r="P13" s="98">
        <v>60000.0</v>
      </c>
      <c r="Q13" s="91"/>
      <c r="R13" s="92">
        <f t="shared" si="6"/>
        <v>60000</v>
      </c>
      <c r="S13" s="93">
        <f t="shared" si="7"/>
        <v>420000</v>
      </c>
      <c r="T13" s="94"/>
      <c r="U13" s="95">
        <f>IFERROR(__xludf.DUMMYFUNCTION("""COMPUTED_VALUE"""),0.0)</f>
        <v>0</v>
      </c>
      <c r="V13" s="24"/>
      <c r="W13" s="24"/>
    </row>
    <row r="14" ht="37.5" customHeight="1">
      <c r="A14" s="24"/>
      <c r="B14" s="97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 t="str">
        <f>IFERROR(__xludf.DUMMYFUNCTION("""COMPUTED_VALUE"""),"SHIFT 1")</f>
        <v>SHIFT 1</v>
      </c>
      <c r="F14" s="86">
        <f>IFERROR(__xludf.DUMMYFUNCTION("""COMPUTED_VALUE"""),6.0)</f>
        <v>6</v>
      </c>
      <c r="G14" s="30">
        <v>70000.0</v>
      </c>
      <c r="H14" s="87">
        <f t="shared" si="1"/>
        <v>420000</v>
      </c>
      <c r="I14" s="87">
        <f t="shared" si="2"/>
        <v>60000</v>
      </c>
      <c r="J14" s="88" t="str">
        <f t="shared" si="3"/>
        <v/>
      </c>
      <c r="K14" s="88"/>
      <c r="L14" s="89">
        <f t="shared" si="4"/>
        <v>0</v>
      </c>
      <c r="M14" s="88"/>
      <c r="N14" s="88"/>
      <c r="O14" s="90">
        <f t="shared" si="5"/>
        <v>480000</v>
      </c>
      <c r="P14" s="91"/>
      <c r="Q14" s="91"/>
      <c r="R14" s="92">
        <f t="shared" si="6"/>
        <v>0</v>
      </c>
      <c r="S14" s="93">
        <f t="shared" si="7"/>
        <v>480000</v>
      </c>
      <c r="T14" s="94"/>
      <c r="U14" s="95">
        <f>IFERROR(__xludf.DUMMYFUNCTION("""COMPUTED_VALUE"""),0.0)</f>
        <v>0</v>
      </c>
      <c r="V14" s="24"/>
      <c r="W14" s="24"/>
    </row>
    <row r="15" ht="37.5" customHeight="1">
      <c r="A15" s="24"/>
      <c r="B15" s="97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 t="str">
        <f>IFERROR(__xludf.DUMMYFUNCTION("""COMPUTED_VALUE"""),"SHIFT 1")</f>
        <v>SHIFT 1</v>
      </c>
      <c r="F15" s="86">
        <f>IFERROR(__xludf.DUMMYFUNCTION("""COMPUTED_VALUE"""),6.0)</f>
        <v>6</v>
      </c>
      <c r="G15" s="30">
        <v>70000.0</v>
      </c>
      <c r="H15" s="87">
        <f t="shared" si="1"/>
        <v>420000</v>
      </c>
      <c r="I15" s="87">
        <f t="shared" si="2"/>
        <v>60000</v>
      </c>
      <c r="J15" s="88" t="str">
        <f t="shared" si="3"/>
        <v/>
      </c>
      <c r="K15" s="88"/>
      <c r="L15" s="89">
        <f t="shared" si="4"/>
        <v>0</v>
      </c>
      <c r="M15" s="88"/>
      <c r="N15" s="88"/>
      <c r="O15" s="90">
        <f t="shared" si="5"/>
        <v>480000</v>
      </c>
      <c r="P15" s="91"/>
      <c r="Q15" s="91"/>
      <c r="R15" s="92">
        <f t="shared" si="6"/>
        <v>0</v>
      </c>
      <c r="S15" s="93">
        <f t="shared" si="7"/>
        <v>480000</v>
      </c>
      <c r="T15" s="94"/>
      <c r="U15" s="95">
        <f>IFERROR(__xludf.DUMMYFUNCTION("""COMPUTED_VALUE"""),0.0)</f>
        <v>0</v>
      </c>
      <c r="V15" s="24"/>
      <c r="W15" s="24"/>
    </row>
    <row r="16" ht="37.5" customHeight="1">
      <c r="A16" s="24"/>
      <c r="B16" s="97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 t="str">
        <f>IFERROR(__xludf.DUMMYFUNCTION("""COMPUTED_VALUE"""),"SHIFT 1")</f>
        <v>SHIFT 1</v>
      </c>
      <c r="F16" s="86">
        <f>IFERROR(__xludf.DUMMYFUNCTION("""COMPUTED_VALUE"""),6.0)</f>
        <v>6</v>
      </c>
      <c r="G16" s="30">
        <v>50000.0</v>
      </c>
      <c r="H16" s="87">
        <f t="shared" si="1"/>
        <v>300000</v>
      </c>
      <c r="I16" s="87">
        <f t="shared" si="2"/>
        <v>60000</v>
      </c>
      <c r="J16" s="88" t="str">
        <f t="shared" si="3"/>
        <v/>
      </c>
      <c r="K16" s="88"/>
      <c r="L16" s="89">
        <f t="shared" si="4"/>
        <v>0</v>
      </c>
      <c r="M16" s="88"/>
      <c r="N16" s="88"/>
      <c r="O16" s="90">
        <f t="shared" si="5"/>
        <v>360000</v>
      </c>
      <c r="P16" s="91"/>
      <c r="Q16" s="91"/>
      <c r="R16" s="92">
        <f t="shared" si="6"/>
        <v>0</v>
      </c>
      <c r="S16" s="93">
        <f t="shared" si="7"/>
        <v>360000</v>
      </c>
      <c r="T16" s="94"/>
      <c r="U16" s="95">
        <f>IFERROR(__xludf.DUMMYFUNCTION("""COMPUTED_VALUE"""),0.0)</f>
        <v>0</v>
      </c>
      <c r="V16" s="24"/>
      <c r="W16" s="24"/>
    </row>
    <row r="17" ht="37.5" customHeight="1">
      <c r="A17" s="24"/>
      <c r="B17" s="97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28" t="str">
        <f>IFERROR(__xludf.DUMMYFUNCTION("""COMPUTED_VALUE"""),"SHIFT 1")</f>
        <v>SHIFT 1</v>
      </c>
      <c r="F17" s="86">
        <f>IFERROR(__xludf.DUMMYFUNCTION("""COMPUTED_VALUE"""),6.0)</f>
        <v>6</v>
      </c>
      <c r="G17" s="30">
        <v>50000.0</v>
      </c>
      <c r="H17" s="87">
        <f t="shared" si="1"/>
        <v>300000</v>
      </c>
      <c r="I17" s="87">
        <f t="shared" si="2"/>
        <v>60000</v>
      </c>
      <c r="J17" s="88" t="str">
        <f t="shared" si="3"/>
        <v/>
      </c>
      <c r="K17" s="88"/>
      <c r="L17" s="89">
        <f t="shared" si="4"/>
        <v>0</v>
      </c>
      <c r="M17" s="88"/>
      <c r="N17" s="88"/>
      <c r="O17" s="90">
        <f t="shared" si="5"/>
        <v>360000</v>
      </c>
      <c r="P17" s="91"/>
      <c r="Q17" s="91"/>
      <c r="R17" s="92">
        <f t="shared" si="6"/>
        <v>0</v>
      </c>
      <c r="S17" s="93">
        <f t="shared" si="7"/>
        <v>360000</v>
      </c>
      <c r="T17" s="94"/>
      <c r="U17" s="95">
        <f>IFERROR(__xludf.DUMMYFUNCTION("""COMPUTED_VALUE"""),0.0)</f>
        <v>0</v>
      </c>
      <c r="V17" s="24"/>
      <c r="W17" s="24"/>
    </row>
    <row r="18" ht="37.5" customHeight="1">
      <c r="A18" s="24"/>
      <c r="B18" s="97">
        <v>10.0</v>
      </c>
      <c r="C18" s="99"/>
      <c r="D18" s="100"/>
      <c r="E18" s="101"/>
      <c r="F18" s="86">
        <f>IFERROR(__xludf.DUMMYFUNCTION("""COMPUTED_VALUE"""),0.0)</f>
        <v>0</v>
      </c>
      <c r="G18" s="45"/>
      <c r="H18" s="87">
        <f t="shared" si="1"/>
        <v>0</v>
      </c>
      <c r="I18" s="87">
        <f t="shared" si="2"/>
        <v>0</v>
      </c>
      <c r="J18" s="88" t="str">
        <f t="shared" si="3"/>
        <v/>
      </c>
      <c r="K18" s="88"/>
      <c r="L18" s="89">
        <f t="shared" si="4"/>
        <v>0</v>
      </c>
      <c r="M18" s="88"/>
      <c r="N18" s="88"/>
      <c r="O18" s="90">
        <f t="shared" si="5"/>
        <v>0</v>
      </c>
      <c r="P18" s="91"/>
      <c r="Q18" s="91"/>
      <c r="R18" s="92">
        <f t="shared" si="6"/>
        <v>0</v>
      </c>
      <c r="S18" s="93">
        <f t="shared" si="7"/>
        <v>0</v>
      </c>
      <c r="T18" s="94"/>
      <c r="U18" s="95">
        <f>IFERROR(__xludf.DUMMYFUNCTION("""COMPUTED_VALUE"""),0.0)</f>
        <v>0</v>
      </c>
      <c r="V18" s="24"/>
      <c r="W18" s="24"/>
    </row>
    <row r="19" ht="37.5" customHeight="1">
      <c r="A19" s="24"/>
      <c r="B19" s="97">
        <v>11.0</v>
      </c>
      <c r="C19" s="26"/>
      <c r="D19" s="27"/>
      <c r="E19" s="28"/>
      <c r="F19" s="86">
        <f>IFERROR(__xludf.DUMMYFUNCTION("""COMPUTED_VALUE"""),0.0)</f>
        <v>0</v>
      </c>
      <c r="G19" s="30"/>
      <c r="H19" s="87">
        <f t="shared" si="1"/>
        <v>0</v>
      </c>
      <c r="I19" s="87">
        <f t="shared" si="2"/>
        <v>0</v>
      </c>
      <c r="J19" s="88" t="str">
        <f t="shared" si="3"/>
        <v/>
      </c>
      <c r="K19" s="88"/>
      <c r="L19" s="89">
        <f t="shared" si="4"/>
        <v>0</v>
      </c>
      <c r="M19" s="88"/>
      <c r="N19" s="88"/>
      <c r="O19" s="90">
        <f t="shared" si="5"/>
        <v>0</v>
      </c>
      <c r="P19" s="91"/>
      <c r="Q19" s="91"/>
      <c r="R19" s="92">
        <f t="shared" si="6"/>
        <v>0</v>
      </c>
      <c r="S19" s="93">
        <f t="shared" si="7"/>
        <v>0</v>
      </c>
      <c r="T19" s="94"/>
      <c r="U19" s="95">
        <f>IFERROR(__xludf.DUMMYFUNCTION("""COMPUTED_VALUE"""),0.0)</f>
        <v>0</v>
      </c>
      <c r="V19" s="24"/>
      <c r="W19" s="24"/>
    </row>
    <row r="20" ht="37.5" customHeight="1">
      <c r="A20" s="24"/>
      <c r="B20" s="97">
        <v>12.0</v>
      </c>
      <c r="C20" s="26"/>
      <c r="D20" s="27"/>
      <c r="E20" s="28"/>
      <c r="F20" s="86">
        <f>IFERROR(__xludf.DUMMYFUNCTION("""COMPUTED_VALUE"""),0.0)</f>
        <v>0</v>
      </c>
      <c r="G20" s="30"/>
      <c r="H20" s="87">
        <f t="shared" si="1"/>
        <v>0</v>
      </c>
      <c r="I20" s="87">
        <f t="shared" si="2"/>
        <v>0</v>
      </c>
      <c r="J20" s="88" t="str">
        <f t="shared" si="3"/>
        <v/>
      </c>
      <c r="K20" s="88"/>
      <c r="L20" s="89">
        <f t="shared" si="4"/>
        <v>0</v>
      </c>
      <c r="M20" s="88"/>
      <c r="N20" s="88"/>
      <c r="O20" s="90">
        <f t="shared" si="5"/>
        <v>0</v>
      </c>
      <c r="P20" s="91"/>
      <c r="Q20" s="91"/>
      <c r="R20" s="92">
        <f t="shared" si="6"/>
        <v>0</v>
      </c>
      <c r="S20" s="93">
        <f t="shared" si="7"/>
        <v>0</v>
      </c>
      <c r="T20" s="94"/>
      <c r="U20" s="95">
        <f>IFERROR(__xludf.DUMMYFUNCTION("""COMPUTED_VALUE"""),0.0)</f>
        <v>0</v>
      </c>
      <c r="V20" s="24"/>
      <c r="W20" s="24"/>
    </row>
    <row r="21" ht="37.5" customHeight="1">
      <c r="A21" s="24"/>
      <c r="B21" s="97">
        <v>13.0</v>
      </c>
      <c r="C21" s="99"/>
      <c r="D21" s="100"/>
      <c r="E21" s="101"/>
      <c r="F21" s="86">
        <f>IFERROR(__xludf.DUMMYFUNCTION("""COMPUTED_VALUE"""),0.0)</f>
        <v>0</v>
      </c>
      <c r="G21" s="45"/>
      <c r="H21" s="87">
        <f t="shared" si="1"/>
        <v>0</v>
      </c>
      <c r="I21" s="87">
        <f t="shared" si="2"/>
        <v>0</v>
      </c>
      <c r="J21" s="88" t="str">
        <f t="shared" si="3"/>
        <v/>
      </c>
      <c r="K21" s="88"/>
      <c r="L21" s="89">
        <f t="shared" si="4"/>
        <v>0</v>
      </c>
      <c r="M21" s="88"/>
      <c r="N21" s="88"/>
      <c r="O21" s="90">
        <f t="shared" si="5"/>
        <v>0</v>
      </c>
      <c r="P21" s="91"/>
      <c r="Q21" s="91"/>
      <c r="R21" s="92">
        <f t="shared" si="6"/>
        <v>0</v>
      </c>
      <c r="S21" s="93">
        <f t="shared" si="7"/>
        <v>0</v>
      </c>
      <c r="T21" s="94"/>
      <c r="U21" s="95">
        <f>IFERROR(__xludf.DUMMYFUNCTION("""COMPUTED_VALUE"""),0.0)</f>
        <v>0</v>
      </c>
      <c r="V21" s="24"/>
      <c r="W21" s="24"/>
    </row>
    <row r="22" ht="37.5" customHeight="1">
      <c r="A22" s="24"/>
      <c r="B22" s="97">
        <v>14.0</v>
      </c>
      <c r="C22" s="99"/>
      <c r="D22" s="100"/>
      <c r="E22" s="101"/>
      <c r="F22" s="86">
        <f>IFERROR(__xludf.DUMMYFUNCTION("""COMPUTED_VALUE"""),0.0)</f>
        <v>0</v>
      </c>
      <c r="G22" s="45"/>
      <c r="H22" s="87">
        <f t="shared" si="1"/>
        <v>0</v>
      </c>
      <c r="I22" s="87">
        <f t="shared" si="2"/>
        <v>0</v>
      </c>
      <c r="J22" s="88" t="str">
        <f t="shared" si="3"/>
        <v/>
      </c>
      <c r="K22" s="88"/>
      <c r="L22" s="89">
        <f t="shared" si="4"/>
        <v>0</v>
      </c>
      <c r="M22" s="88"/>
      <c r="N22" s="88"/>
      <c r="O22" s="90">
        <f t="shared" si="5"/>
        <v>0</v>
      </c>
      <c r="P22" s="91"/>
      <c r="Q22" s="91"/>
      <c r="R22" s="92">
        <f t="shared" si="6"/>
        <v>0</v>
      </c>
      <c r="S22" s="93">
        <f t="shared" si="7"/>
        <v>0</v>
      </c>
      <c r="T22" s="94"/>
      <c r="U22" s="95">
        <f>IFERROR(__xludf.DUMMYFUNCTION("""COMPUTED_VALUE"""),0.0)</f>
        <v>0</v>
      </c>
      <c r="V22" s="24"/>
      <c r="W22" s="24"/>
    </row>
    <row r="23" ht="37.5" customHeight="1">
      <c r="A23" s="24"/>
      <c r="B23" s="97">
        <v>15.0</v>
      </c>
      <c r="C23" s="99"/>
      <c r="D23" s="100"/>
      <c r="E23" s="101"/>
      <c r="F23" s="86">
        <f>IFERROR(__xludf.DUMMYFUNCTION("""COMPUTED_VALUE"""),0.0)</f>
        <v>0</v>
      </c>
      <c r="G23" s="45"/>
      <c r="H23" s="87">
        <f t="shared" si="1"/>
        <v>0</v>
      </c>
      <c r="I23" s="87">
        <f t="shared" si="2"/>
        <v>0</v>
      </c>
      <c r="J23" s="88"/>
      <c r="K23" s="88"/>
      <c r="L23" s="89">
        <f t="shared" si="4"/>
        <v>0</v>
      </c>
      <c r="M23" s="88"/>
      <c r="N23" s="88"/>
      <c r="O23" s="90">
        <f t="shared" si="5"/>
        <v>0</v>
      </c>
      <c r="P23" s="91"/>
      <c r="Q23" s="91"/>
      <c r="R23" s="92">
        <f t="shared" si="6"/>
        <v>0</v>
      </c>
      <c r="S23" s="93">
        <f t="shared" si="7"/>
        <v>0</v>
      </c>
      <c r="T23" s="94"/>
      <c r="U23" s="95">
        <f>IFERROR(__xludf.DUMMYFUNCTION("""COMPUTED_VALUE"""),0.0)</f>
        <v>0</v>
      </c>
      <c r="V23" s="24"/>
      <c r="W23" s="24"/>
    </row>
    <row r="24" ht="37.5" customHeight="1">
      <c r="A24" s="24"/>
      <c r="B24" s="97">
        <v>16.0</v>
      </c>
      <c r="C24" s="99"/>
      <c r="D24" s="100"/>
      <c r="E24" s="101"/>
      <c r="F24" s="86">
        <f>IFERROR(__xludf.DUMMYFUNCTION("""COMPUTED_VALUE"""),0.0)</f>
        <v>0</v>
      </c>
      <c r="G24" s="45"/>
      <c r="H24" s="87">
        <f t="shared" si="1"/>
        <v>0</v>
      </c>
      <c r="I24" s="87">
        <f t="shared" si="2"/>
        <v>0</v>
      </c>
      <c r="J24" s="88"/>
      <c r="K24" s="88"/>
      <c r="L24" s="89">
        <f t="shared" si="4"/>
        <v>0</v>
      </c>
      <c r="M24" s="88"/>
      <c r="N24" s="88"/>
      <c r="O24" s="90">
        <f t="shared" si="5"/>
        <v>0</v>
      </c>
      <c r="P24" s="91"/>
      <c r="Q24" s="91"/>
      <c r="R24" s="92">
        <f t="shared" si="6"/>
        <v>0</v>
      </c>
      <c r="S24" s="93">
        <f t="shared" si="7"/>
        <v>0</v>
      </c>
      <c r="T24" s="94"/>
      <c r="U24" s="95">
        <f>IFERROR(__xludf.DUMMYFUNCTION("""COMPUTED_VALUE"""),0.0)</f>
        <v>0</v>
      </c>
      <c r="V24" s="24"/>
      <c r="W24" s="24"/>
    </row>
    <row r="25" ht="37.5" customHeight="1">
      <c r="A25" s="24"/>
      <c r="B25" s="97">
        <v>17.0</v>
      </c>
      <c r="C25" s="99"/>
      <c r="D25" s="100"/>
      <c r="E25" s="101"/>
      <c r="F25" s="86">
        <f>IFERROR(__xludf.DUMMYFUNCTION("""COMPUTED_VALUE"""),0.0)</f>
        <v>0</v>
      </c>
      <c r="G25" s="45"/>
      <c r="H25" s="87">
        <f t="shared" si="1"/>
        <v>0</v>
      </c>
      <c r="I25" s="87">
        <f t="shared" si="2"/>
        <v>0</v>
      </c>
      <c r="J25" s="88" t="str">
        <f t="shared" ref="J25:J30" si="8">IF(E25="SHIFT 2",I25,"")</f>
        <v/>
      </c>
      <c r="K25" s="88"/>
      <c r="L25" s="89">
        <f t="shared" si="4"/>
        <v>0</v>
      </c>
      <c r="M25" s="88"/>
      <c r="N25" s="88"/>
      <c r="O25" s="90">
        <f t="shared" si="5"/>
        <v>0</v>
      </c>
      <c r="P25" s="91"/>
      <c r="Q25" s="91"/>
      <c r="R25" s="92">
        <f t="shared" si="6"/>
        <v>0</v>
      </c>
      <c r="S25" s="93">
        <f t="shared" si="7"/>
        <v>0</v>
      </c>
      <c r="T25" s="94"/>
      <c r="U25" s="95">
        <f>IFERROR(__xludf.DUMMYFUNCTION("""COMPUTED_VALUE"""),0.0)</f>
        <v>0</v>
      </c>
      <c r="V25" s="24"/>
      <c r="W25" s="24"/>
    </row>
    <row r="26" ht="37.5" customHeight="1">
      <c r="A26" s="24"/>
      <c r="B26" s="97">
        <v>18.0</v>
      </c>
      <c r="C26" s="99"/>
      <c r="D26" s="101"/>
      <c r="E26" s="101"/>
      <c r="F26" s="102">
        <f>IFERROR(__xludf.DUMMYFUNCTION("""COMPUTED_VALUE"""),0.0)</f>
        <v>0</v>
      </c>
      <c r="G26" s="53"/>
      <c r="H26" s="87">
        <f t="shared" si="1"/>
        <v>0</v>
      </c>
      <c r="I26" s="87">
        <f t="shared" si="2"/>
        <v>0</v>
      </c>
      <c r="J26" s="88" t="str">
        <f t="shared" si="8"/>
        <v/>
      </c>
      <c r="K26" s="88"/>
      <c r="L26" s="89">
        <f t="shared" si="4"/>
        <v>0</v>
      </c>
      <c r="M26" s="88"/>
      <c r="N26" s="88"/>
      <c r="O26" s="90">
        <f t="shared" si="5"/>
        <v>0</v>
      </c>
      <c r="P26" s="91"/>
      <c r="Q26" s="91"/>
      <c r="R26" s="92">
        <f t="shared" si="6"/>
        <v>0</v>
      </c>
      <c r="S26" s="93">
        <f t="shared" si="7"/>
        <v>0</v>
      </c>
      <c r="T26" s="101"/>
      <c r="U26" s="95">
        <f>IFERROR(__xludf.DUMMYFUNCTION("""COMPUTED_VALUE"""),0.0)</f>
        <v>0</v>
      </c>
      <c r="V26" s="24"/>
      <c r="W26" s="24"/>
    </row>
    <row r="27" ht="37.5" customHeight="1">
      <c r="A27" s="24"/>
      <c r="B27" s="97">
        <v>19.0</v>
      </c>
      <c r="C27" s="99"/>
      <c r="D27" s="101"/>
      <c r="E27" s="101"/>
      <c r="F27" s="102">
        <f>IFERROR(__xludf.DUMMYFUNCTION("""COMPUTED_VALUE"""),0.0)</f>
        <v>0</v>
      </c>
      <c r="G27" s="53"/>
      <c r="H27" s="87">
        <f t="shared" si="1"/>
        <v>0</v>
      </c>
      <c r="I27" s="87">
        <f t="shared" si="2"/>
        <v>0</v>
      </c>
      <c r="J27" s="88" t="str">
        <f t="shared" si="8"/>
        <v/>
      </c>
      <c r="K27" s="88"/>
      <c r="L27" s="89">
        <f t="shared" si="4"/>
        <v>0</v>
      </c>
      <c r="M27" s="88"/>
      <c r="N27" s="88"/>
      <c r="O27" s="90">
        <f t="shared" si="5"/>
        <v>0</v>
      </c>
      <c r="P27" s="91"/>
      <c r="Q27" s="91"/>
      <c r="R27" s="92">
        <f t="shared" si="6"/>
        <v>0</v>
      </c>
      <c r="S27" s="93">
        <f t="shared" si="7"/>
        <v>0</v>
      </c>
      <c r="T27" s="101"/>
      <c r="U27" s="95">
        <f>IFERROR(__xludf.DUMMYFUNCTION("""COMPUTED_VALUE"""),0.0)</f>
        <v>0</v>
      </c>
      <c r="V27" s="24"/>
      <c r="W27" s="24"/>
    </row>
    <row r="28" ht="37.5" customHeight="1">
      <c r="A28" s="24"/>
      <c r="B28" s="97">
        <v>20.0</v>
      </c>
      <c r="C28" s="99"/>
      <c r="D28" s="101"/>
      <c r="E28" s="101"/>
      <c r="F28" s="102"/>
      <c r="G28" s="53"/>
      <c r="H28" s="87">
        <f t="shared" si="1"/>
        <v>0</v>
      </c>
      <c r="I28" s="87">
        <f t="shared" si="2"/>
        <v>0</v>
      </c>
      <c r="J28" s="88" t="str">
        <f t="shared" si="8"/>
        <v/>
      </c>
      <c r="K28" s="88"/>
      <c r="L28" s="89">
        <f t="shared" si="4"/>
        <v>0</v>
      </c>
      <c r="M28" s="88"/>
      <c r="N28" s="88"/>
      <c r="O28" s="90">
        <f t="shared" si="5"/>
        <v>0</v>
      </c>
      <c r="P28" s="91"/>
      <c r="Q28" s="91"/>
      <c r="R28" s="92">
        <f t="shared" si="6"/>
        <v>0</v>
      </c>
      <c r="S28" s="93">
        <f t="shared" si="7"/>
        <v>0</v>
      </c>
      <c r="T28" s="101"/>
      <c r="U28" s="95">
        <f>IFERROR(__xludf.DUMMYFUNCTION("""COMPUTED_VALUE"""),0.0)</f>
        <v>0</v>
      </c>
      <c r="V28" s="24"/>
      <c r="W28" s="24"/>
    </row>
    <row r="29" ht="37.5" customHeight="1">
      <c r="A29" s="24"/>
      <c r="B29" s="97">
        <v>21.0</v>
      </c>
      <c r="C29" s="99"/>
      <c r="D29" s="101"/>
      <c r="E29" s="101"/>
      <c r="F29" s="102"/>
      <c r="G29" s="53"/>
      <c r="H29" s="87">
        <f t="shared" si="1"/>
        <v>0</v>
      </c>
      <c r="I29" s="87">
        <f t="shared" si="2"/>
        <v>0</v>
      </c>
      <c r="J29" s="88" t="str">
        <f t="shared" si="8"/>
        <v/>
      </c>
      <c r="K29" s="88"/>
      <c r="L29" s="89">
        <f t="shared" si="4"/>
        <v>0</v>
      </c>
      <c r="M29" s="88"/>
      <c r="N29" s="88"/>
      <c r="O29" s="90">
        <f t="shared" si="5"/>
        <v>0</v>
      </c>
      <c r="P29" s="91"/>
      <c r="Q29" s="91"/>
      <c r="R29" s="92">
        <f t="shared" si="6"/>
        <v>0</v>
      </c>
      <c r="S29" s="93">
        <f t="shared" si="7"/>
        <v>0</v>
      </c>
      <c r="T29" s="101"/>
      <c r="U29" s="95"/>
      <c r="V29" s="24"/>
      <c r="W29" s="24"/>
    </row>
    <row r="30" ht="37.5" customHeight="1">
      <c r="A30" s="24"/>
      <c r="B30" s="97">
        <v>22.0</v>
      </c>
      <c r="C30" s="99"/>
      <c r="D30" s="101"/>
      <c r="E30" s="101"/>
      <c r="F30" s="102"/>
      <c r="G30" s="53"/>
      <c r="H30" s="87">
        <f t="shared" si="1"/>
        <v>0</v>
      </c>
      <c r="I30" s="87">
        <f t="shared" si="2"/>
        <v>0</v>
      </c>
      <c r="J30" s="88" t="str">
        <f t="shared" si="8"/>
        <v/>
      </c>
      <c r="K30" s="88"/>
      <c r="L30" s="89">
        <f t="shared" si="4"/>
        <v>0</v>
      </c>
      <c r="M30" s="88"/>
      <c r="N30" s="88"/>
      <c r="O30" s="90">
        <f t="shared" si="5"/>
        <v>0</v>
      </c>
      <c r="P30" s="91"/>
      <c r="Q30" s="91"/>
      <c r="R30" s="92">
        <f t="shared" si="6"/>
        <v>0</v>
      </c>
      <c r="S30" s="93">
        <f t="shared" si="7"/>
        <v>0</v>
      </c>
      <c r="T30" s="101"/>
      <c r="U30" s="95"/>
      <c r="V30" s="24"/>
      <c r="W30" s="24"/>
    </row>
    <row r="31" ht="37.5" customHeight="1">
      <c r="B31" s="103"/>
      <c r="F31" s="104" t="s">
        <v>21</v>
      </c>
      <c r="S31" s="105">
        <f>SUM(S9:S30)</f>
        <v>3840000</v>
      </c>
      <c r="T31" s="106"/>
      <c r="U31" s="107"/>
    </row>
    <row r="32" ht="37.5" customHeight="1">
      <c r="B32" s="108"/>
      <c r="C32" s="108"/>
      <c r="D32" s="108"/>
      <c r="E32" s="108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10"/>
    </row>
    <row r="33" ht="37.5" customHeight="1">
      <c r="A33" s="24"/>
      <c r="B33" s="82" t="str">
        <f>IFERROR(__xludf.DUMMYFUNCTION("IMPORTRANGE(""https://docs.google.com/spreadsheets/d/17TnzcKnlaqlAyM_3lnNpgK5CAOPbscCCRVH50X8UulY/edit?usp=sharing"",""MARET!B28"")"),"TANGGAL : 9-14 MARET 2026")</f>
        <v>TANGGAL : 9-14 MARET 2026</v>
      </c>
      <c r="F33" s="83"/>
      <c r="G33" s="83"/>
      <c r="H33" s="83"/>
      <c r="I33" s="83"/>
      <c r="J33" s="83"/>
      <c r="K33" s="83"/>
      <c r="L33" s="84">
        <v>15000.0</v>
      </c>
      <c r="M33" s="83"/>
      <c r="N33" s="83"/>
      <c r="O33" s="83"/>
      <c r="P33" s="83"/>
      <c r="Q33" s="83"/>
      <c r="R33" s="83"/>
      <c r="S33" s="83"/>
      <c r="T33" s="83"/>
      <c r="U33" s="85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IFERROR(__xludf.DUMMYFUNCTION("IMPORTRANGE(""https://docs.google.com/spreadsheets/d/17TnzcKnlaqlAyM_3lnNpgK5CAOPbscCCRVH50X8UulY/edit?usp=sharing"",""MARET!B29:D48"")"),"DENI")</f>
        <v>DENI</v>
      </c>
      <c r="D34" s="27" t="str">
        <f>IFERROR(__xludf.DUMMYFUNCTION("""COMPUTED_VALUE"""),"KEPALA")</f>
        <v>KEPALA</v>
      </c>
      <c r="E34" s="28" t="str">
        <f>IFERROR(__xludf.DUMMYFUNCTION("""COMPUTED_VALUE"""),"SHIFT 1")</f>
        <v>SHIFT 1</v>
      </c>
      <c r="F34" s="52">
        <f>IFERROR(__xludf.DUMMYFUNCTION("IMPORTRANGE(""https://docs.google.com/spreadsheets/d/17TnzcKnlaqlAyM_3lnNpgK5CAOPbscCCRVH50X8UulY/edit?usp=sharing"",""MARET!K29:K47"")"),6.0)</f>
        <v>6</v>
      </c>
      <c r="G34" s="30">
        <v>110000.0</v>
      </c>
      <c r="H34" s="87">
        <f t="shared" ref="H34:H55" si="9">F34*G34</f>
        <v>660000</v>
      </c>
      <c r="I34" s="87">
        <f t="shared" ref="I34:I55" si="10">F34*10000</f>
        <v>60000</v>
      </c>
      <c r="J34" s="88" t="str">
        <f t="shared" ref="J34:J55" si="11">IF(E34="SHIFT 2",I34,"")</f>
        <v/>
      </c>
      <c r="K34" s="88"/>
      <c r="L34" s="89">
        <f t="shared" ref="L34:L55" si="12">U34*$L$33</f>
        <v>0</v>
      </c>
      <c r="M34" s="88"/>
      <c r="N34" s="88"/>
      <c r="O34" s="90">
        <f t="shared" ref="O34:O55" si="13">SUM(H34:N34)</f>
        <v>720000</v>
      </c>
      <c r="P34" s="35"/>
      <c r="Q34" s="36"/>
      <c r="R34" s="92">
        <f t="shared" ref="R34:R55" si="14">SUM(P34:Q34)</f>
        <v>0</v>
      </c>
      <c r="S34" s="93">
        <f t="shared" ref="S34:S55" si="15">O34-R34</f>
        <v>720000</v>
      </c>
      <c r="T34" s="52" t="str">
        <f>IFERROR(__xludf.DUMMYFUNCTION("IMPORTRANGE(""https://docs.google.com/spreadsheets/d/17TnzcKnlaqlAyM_3lnNpgK5CAOPbscCCRVH50X8UulY/edit?usp=sharing"",""MARET!L29:L48"")"),"")</f>
        <v/>
      </c>
      <c r="U34" s="95">
        <f>IFERROR(__xludf.DUMMYFUNCTION("IMPORTRANGE(""https://docs.google.com/spreadsheets/d/17TnzcKnlaqlAyM_3lnNpgK5CAOPbscCCRVH50X8UulY/edit?usp=sharing"",""MARET!U29:U48"")"),0.0)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 t="str">
        <f>IFERROR(__xludf.DUMMYFUNCTION("""COMPUTED_VALUE"""),"SHIFT 1")</f>
        <v>SHIFT 1</v>
      </c>
      <c r="F35" s="86">
        <f>IFERROR(__xludf.DUMMYFUNCTION("""COMPUTED_VALUE"""),6.0)</f>
        <v>6</v>
      </c>
      <c r="G35" s="30">
        <v>70000.0</v>
      </c>
      <c r="H35" s="87">
        <f t="shared" si="9"/>
        <v>420000</v>
      </c>
      <c r="I35" s="87">
        <f t="shared" si="10"/>
        <v>60000</v>
      </c>
      <c r="J35" s="88" t="str">
        <f t="shared" si="11"/>
        <v/>
      </c>
      <c r="K35" s="96"/>
      <c r="L35" s="89">
        <f t="shared" si="12"/>
        <v>0</v>
      </c>
      <c r="M35" s="96"/>
      <c r="N35" s="96"/>
      <c r="O35" s="90">
        <f t="shared" si="13"/>
        <v>480000</v>
      </c>
      <c r="P35" s="36"/>
      <c r="Q35" s="36"/>
      <c r="R35" s="92">
        <f t="shared" si="14"/>
        <v>0</v>
      </c>
      <c r="S35" s="93">
        <f t="shared" si="15"/>
        <v>480000</v>
      </c>
      <c r="T35" s="52"/>
      <c r="U35" s="95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 t="str">
        <f>IFERROR(__xludf.DUMMYFUNCTION("""COMPUTED_VALUE"""),"ANDRI")</f>
        <v>ANDRI</v>
      </c>
      <c r="D36" s="27" t="str">
        <f>IFERROR(__xludf.DUMMYFUNCTION("""COMPUTED_VALUE"""),"DESIGN BORDIR")</f>
        <v>DESIGN BORDIR</v>
      </c>
      <c r="E36" s="28" t="str">
        <f>IFERROR(__xludf.DUMMYFUNCTION("""COMPUTED_VALUE"""),"SHIFT 1")</f>
        <v>SHIFT 1</v>
      </c>
      <c r="F36" s="86">
        <f>IFERROR(__xludf.DUMMYFUNCTION("""COMPUTED_VALUE"""),0.0)</f>
        <v>0</v>
      </c>
      <c r="G36" s="30">
        <v>70000.0</v>
      </c>
      <c r="H36" s="87">
        <f t="shared" si="9"/>
        <v>0</v>
      </c>
      <c r="I36" s="87">
        <f t="shared" si="10"/>
        <v>0</v>
      </c>
      <c r="J36" s="88" t="str">
        <f t="shared" si="11"/>
        <v/>
      </c>
      <c r="K36" s="96"/>
      <c r="L36" s="89">
        <f t="shared" si="12"/>
        <v>0</v>
      </c>
      <c r="M36" s="96"/>
      <c r="N36" s="96"/>
      <c r="O36" s="90">
        <f t="shared" si="13"/>
        <v>0</v>
      </c>
      <c r="P36" s="36"/>
      <c r="Q36" s="36"/>
      <c r="R36" s="92">
        <f t="shared" si="14"/>
        <v>0</v>
      </c>
      <c r="S36" s="93">
        <f t="shared" si="15"/>
        <v>0</v>
      </c>
      <c r="T36" s="52"/>
      <c r="U36" s="95">
        <f>IFERROR(__xludf.DUMMYFUNCTION("""COMPUTED_VALUE"""),0.0)</f>
        <v>0</v>
      </c>
      <c r="V36" s="24"/>
      <c r="W36" s="24"/>
    </row>
    <row r="37" ht="37.5" customHeight="1">
      <c r="A37" s="24"/>
      <c r="B37" s="97">
        <v>4.0</v>
      </c>
      <c r="C37" s="26" t="str">
        <f>IFERROR(__xludf.DUMMYFUNCTION("""COMPUTED_VALUE"""),"ADIT")</f>
        <v>ADIT</v>
      </c>
      <c r="D37" s="27" t="str">
        <f>IFERROR(__xludf.DUMMYFUNCTION("""COMPUTED_VALUE"""),"CREATOR")</f>
        <v>CREATOR</v>
      </c>
      <c r="E37" s="28" t="str">
        <f>IFERROR(__xludf.DUMMYFUNCTION("""COMPUTED_VALUE"""),"SHIFT 1")</f>
        <v>SHIFT 1</v>
      </c>
      <c r="F37" s="86">
        <f>IFERROR(__xludf.DUMMYFUNCTION("""COMPUTED_VALUE"""),6.0)</f>
        <v>6</v>
      </c>
      <c r="G37" s="30">
        <v>50000.0</v>
      </c>
      <c r="H37" s="87">
        <f t="shared" si="9"/>
        <v>300000</v>
      </c>
      <c r="I37" s="87">
        <f t="shared" si="10"/>
        <v>60000</v>
      </c>
      <c r="J37" s="88" t="str">
        <f t="shared" si="11"/>
        <v/>
      </c>
      <c r="K37" s="88"/>
      <c r="L37" s="89">
        <f t="shared" si="12"/>
        <v>0</v>
      </c>
      <c r="M37" s="88"/>
      <c r="N37" s="88"/>
      <c r="O37" s="90">
        <f t="shared" si="13"/>
        <v>360000</v>
      </c>
      <c r="P37" s="36"/>
      <c r="Q37" s="36"/>
      <c r="R37" s="92">
        <f t="shared" si="14"/>
        <v>0</v>
      </c>
      <c r="S37" s="93">
        <f t="shared" si="15"/>
        <v>360000</v>
      </c>
      <c r="T37" s="52"/>
      <c r="U37" s="95">
        <f>IFERROR(__xludf.DUMMYFUNCTION("""COMPUTED_VALUE"""),0.0)</f>
        <v>0</v>
      </c>
      <c r="V37" s="24"/>
      <c r="W37" s="24"/>
    </row>
    <row r="38" ht="37.5" customHeight="1">
      <c r="A38" s="24"/>
      <c r="B38" s="97">
        <v>5.0</v>
      </c>
      <c r="C38" s="26" t="str">
        <f>IFERROR(__xludf.DUMMYFUNCTION("""COMPUTED_VALUE"""),"EPUL")</f>
        <v>EPUL</v>
      </c>
      <c r="D38" s="27" t="str">
        <f>IFERROR(__xludf.DUMMYFUNCTION("""COMPUTED_VALUE"""),"DESIGN BORDIR")</f>
        <v>DESIGN BORDIR</v>
      </c>
      <c r="E38" s="28" t="str">
        <f>IFERROR(__xludf.DUMMYFUNCTION("""COMPUTED_VALUE"""),"SHIFT 1")</f>
        <v>SHIFT 1</v>
      </c>
      <c r="F38" s="86">
        <f>IFERROR(__xludf.DUMMYFUNCTION("""COMPUTED_VALUE"""),6.0)</f>
        <v>6</v>
      </c>
      <c r="G38" s="30">
        <v>70000.0</v>
      </c>
      <c r="H38" s="87">
        <f t="shared" si="9"/>
        <v>420000</v>
      </c>
      <c r="I38" s="87">
        <f t="shared" si="10"/>
        <v>60000</v>
      </c>
      <c r="J38" s="88" t="str">
        <f t="shared" si="11"/>
        <v/>
      </c>
      <c r="K38" s="88"/>
      <c r="L38" s="89">
        <f t="shared" si="12"/>
        <v>0</v>
      </c>
      <c r="M38" s="88"/>
      <c r="N38" s="88"/>
      <c r="O38" s="90">
        <f t="shared" si="13"/>
        <v>480000</v>
      </c>
      <c r="P38" s="91"/>
      <c r="Q38" s="91"/>
      <c r="R38" s="92">
        <f t="shared" si="14"/>
        <v>0</v>
      </c>
      <c r="S38" s="93">
        <f t="shared" si="15"/>
        <v>480000</v>
      </c>
      <c r="T38" s="52"/>
      <c r="U38" s="95">
        <f>IFERROR(__xludf.DUMMYFUNCTION("""COMPUTED_VALUE"""),0.0)</f>
        <v>0</v>
      </c>
      <c r="V38" s="24"/>
      <c r="W38" s="24"/>
    </row>
    <row r="39" ht="37.5" customHeight="1">
      <c r="A39" s="24"/>
      <c r="B39" s="97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 t="str">
        <f>IFERROR(__xludf.DUMMYFUNCTION("""COMPUTED_VALUE"""),"SHIFT 1")</f>
        <v>SHIFT 1</v>
      </c>
      <c r="F39" s="86">
        <f>IFERROR(__xludf.DUMMYFUNCTION("""COMPUTED_VALUE"""),6.0)</f>
        <v>6</v>
      </c>
      <c r="G39" s="30">
        <v>70000.0</v>
      </c>
      <c r="H39" s="87">
        <f t="shared" si="9"/>
        <v>420000</v>
      </c>
      <c r="I39" s="87">
        <f t="shared" si="10"/>
        <v>60000</v>
      </c>
      <c r="J39" s="88" t="str">
        <f t="shared" si="11"/>
        <v/>
      </c>
      <c r="K39" s="88"/>
      <c r="L39" s="89">
        <f t="shared" si="12"/>
        <v>0</v>
      </c>
      <c r="M39" s="88"/>
      <c r="N39" s="88"/>
      <c r="O39" s="90">
        <f t="shared" si="13"/>
        <v>480000</v>
      </c>
      <c r="P39" s="91"/>
      <c r="Q39" s="91"/>
      <c r="R39" s="92">
        <f t="shared" si="14"/>
        <v>0</v>
      </c>
      <c r="S39" s="93">
        <f t="shared" si="15"/>
        <v>480000</v>
      </c>
      <c r="T39" s="52"/>
      <c r="U39" s="95">
        <f>IFERROR(__xludf.DUMMYFUNCTION("""COMPUTED_VALUE"""),0.0)</f>
        <v>0</v>
      </c>
      <c r="V39" s="24"/>
      <c r="W39" s="24"/>
    </row>
    <row r="40" ht="37.5" customHeight="1">
      <c r="A40" s="24"/>
      <c r="B40" s="97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 t="str">
        <f>IFERROR(__xludf.DUMMYFUNCTION("""COMPUTED_VALUE"""),"SHIFT 1")</f>
        <v>SHIFT 1</v>
      </c>
      <c r="F40" s="86">
        <f>IFERROR(__xludf.DUMMYFUNCTION("""COMPUTED_VALUE"""),6.0)</f>
        <v>6</v>
      </c>
      <c r="G40" s="30">
        <v>70000.0</v>
      </c>
      <c r="H40" s="87">
        <f t="shared" si="9"/>
        <v>420000</v>
      </c>
      <c r="I40" s="87">
        <f t="shared" si="10"/>
        <v>60000</v>
      </c>
      <c r="J40" s="88" t="str">
        <f t="shared" si="11"/>
        <v/>
      </c>
      <c r="K40" s="88"/>
      <c r="L40" s="89">
        <f t="shared" si="12"/>
        <v>0</v>
      </c>
      <c r="M40" s="88"/>
      <c r="N40" s="88"/>
      <c r="O40" s="90">
        <f t="shared" si="13"/>
        <v>480000</v>
      </c>
      <c r="P40" s="91"/>
      <c r="Q40" s="91"/>
      <c r="R40" s="92">
        <f t="shared" si="14"/>
        <v>0</v>
      </c>
      <c r="S40" s="93">
        <f t="shared" si="15"/>
        <v>480000</v>
      </c>
      <c r="T40" s="52"/>
      <c r="U40" s="95">
        <f>IFERROR(__xludf.DUMMYFUNCTION("""COMPUTED_VALUE"""),0.0)</f>
        <v>0</v>
      </c>
      <c r="V40" s="24"/>
      <c r="W40" s="24"/>
    </row>
    <row r="41" ht="37.5" customHeight="1">
      <c r="A41" s="24"/>
      <c r="B41" s="97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 t="str">
        <f>IFERROR(__xludf.DUMMYFUNCTION("""COMPUTED_VALUE"""),"SHIFT 1")</f>
        <v>SHIFT 1</v>
      </c>
      <c r="F41" s="86">
        <f>IFERROR(__xludf.DUMMYFUNCTION("""COMPUTED_VALUE"""),6.0)</f>
        <v>6</v>
      </c>
      <c r="G41" s="30">
        <v>50000.0</v>
      </c>
      <c r="H41" s="87">
        <f t="shared" si="9"/>
        <v>300000</v>
      </c>
      <c r="I41" s="87">
        <f t="shared" si="10"/>
        <v>60000</v>
      </c>
      <c r="J41" s="88" t="str">
        <f t="shared" si="11"/>
        <v/>
      </c>
      <c r="K41" s="88"/>
      <c r="L41" s="89">
        <f t="shared" si="12"/>
        <v>0</v>
      </c>
      <c r="M41" s="88"/>
      <c r="N41" s="88"/>
      <c r="O41" s="90">
        <f t="shared" si="13"/>
        <v>360000</v>
      </c>
      <c r="P41" s="91"/>
      <c r="Q41" s="91"/>
      <c r="R41" s="92">
        <f t="shared" si="14"/>
        <v>0</v>
      </c>
      <c r="S41" s="93">
        <f t="shared" si="15"/>
        <v>360000</v>
      </c>
      <c r="T41" s="52"/>
      <c r="U41" s="95">
        <f>IFERROR(__xludf.DUMMYFUNCTION("""COMPUTED_VALUE"""),0.0)</f>
        <v>0</v>
      </c>
      <c r="V41" s="24"/>
      <c r="W41" s="24"/>
    </row>
    <row r="42" ht="37.5" customHeight="1">
      <c r="A42" s="24"/>
      <c r="B42" s="97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 t="str">
        <f>IFERROR(__xludf.DUMMYFUNCTION("""COMPUTED_VALUE"""),"SHIFT 1")</f>
        <v>SHIFT 1</v>
      </c>
      <c r="F42" s="86">
        <f>IFERROR(__xludf.DUMMYFUNCTION("""COMPUTED_VALUE"""),6.0)</f>
        <v>6</v>
      </c>
      <c r="G42" s="30">
        <v>50000.0</v>
      </c>
      <c r="H42" s="87">
        <f t="shared" si="9"/>
        <v>300000</v>
      </c>
      <c r="I42" s="87">
        <f t="shared" si="10"/>
        <v>60000</v>
      </c>
      <c r="J42" s="88" t="str">
        <f t="shared" si="11"/>
        <v/>
      </c>
      <c r="K42" s="88"/>
      <c r="L42" s="89">
        <f t="shared" si="12"/>
        <v>0</v>
      </c>
      <c r="M42" s="88"/>
      <c r="N42" s="88"/>
      <c r="O42" s="90">
        <f t="shared" si="13"/>
        <v>360000</v>
      </c>
      <c r="P42" s="91"/>
      <c r="Q42" s="91"/>
      <c r="R42" s="92">
        <f t="shared" si="14"/>
        <v>0</v>
      </c>
      <c r="S42" s="93">
        <f t="shared" si="15"/>
        <v>360000</v>
      </c>
      <c r="T42" s="52"/>
      <c r="U42" s="95">
        <f>IFERROR(__xludf.DUMMYFUNCTION("""COMPUTED_VALUE"""),0.0)</f>
        <v>0</v>
      </c>
      <c r="V42" s="24"/>
      <c r="W42" s="24"/>
    </row>
    <row r="43" ht="37.5" customHeight="1">
      <c r="A43" s="24"/>
      <c r="B43" s="97">
        <v>10.0</v>
      </c>
      <c r="C43" s="99"/>
      <c r="D43" s="100"/>
      <c r="E43" s="101"/>
      <c r="F43" s="86">
        <f>IFERROR(__xludf.DUMMYFUNCTION("""COMPUTED_VALUE"""),0.0)</f>
        <v>0</v>
      </c>
      <c r="G43" s="45"/>
      <c r="H43" s="87">
        <f t="shared" si="9"/>
        <v>0</v>
      </c>
      <c r="I43" s="87">
        <f t="shared" si="10"/>
        <v>0</v>
      </c>
      <c r="J43" s="88" t="str">
        <f t="shared" si="11"/>
        <v/>
      </c>
      <c r="K43" s="88"/>
      <c r="L43" s="89">
        <f t="shared" si="12"/>
        <v>0</v>
      </c>
      <c r="M43" s="88"/>
      <c r="N43" s="88"/>
      <c r="O43" s="90">
        <f t="shared" si="13"/>
        <v>0</v>
      </c>
      <c r="P43" s="91"/>
      <c r="Q43" s="91"/>
      <c r="R43" s="92">
        <f t="shared" si="14"/>
        <v>0</v>
      </c>
      <c r="S43" s="93">
        <f t="shared" si="15"/>
        <v>0</v>
      </c>
      <c r="T43" s="52"/>
      <c r="U43" s="95">
        <f>IFERROR(__xludf.DUMMYFUNCTION("""COMPUTED_VALUE"""),0.0)</f>
        <v>0</v>
      </c>
      <c r="V43" s="24"/>
      <c r="W43" s="24"/>
    </row>
    <row r="44" ht="37.5" customHeight="1">
      <c r="A44" s="24"/>
      <c r="B44" s="97">
        <v>11.0</v>
      </c>
      <c r="C44" s="99"/>
      <c r="D44" s="100"/>
      <c r="E44" s="101"/>
      <c r="F44" s="86">
        <f>IFERROR(__xludf.DUMMYFUNCTION("""COMPUTED_VALUE"""),0.0)</f>
        <v>0</v>
      </c>
      <c r="G44" s="45"/>
      <c r="H44" s="87">
        <f t="shared" si="9"/>
        <v>0</v>
      </c>
      <c r="I44" s="87">
        <f t="shared" si="10"/>
        <v>0</v>
      </c>
      <c r="J44" s="88" t="str">
        <f t="shared" si="11"/>
        <v/>
      </c>
      <c r="K44" s="88"/>
      <c r="L44" s="89">
        <f t="shared" si="12"/>
        <v>0</v>
      </c>
      <c r="M44" s="88"/>
      <c r="N44" s="88"/>
      <c r="O44" s="90">
        <f t="shared" si="13"/>
        <v>0</v>
      </c>
      <c r="P44" s="91"/>
      <c r="Q44" s="91"/>
      <c r="R44" s="92">
        <f t="shared" si="14"/>
        <v>0</v>
      </c>
      <c r="S44" s="93">
        <f t="shared" si="15"/>
        <v>0</v>
      </c>
      <c r="T44" s="52"/>
      <c r="U44" s="95">
        <f>IFERROR(__xludf.DUMMYFUNCTION("""COMPUTED_VALUE"""),0.0)</f>
        <v>0</v>
      </c>
      <c r="V44" s="24"/>
      <c r="W44" s="24"/>
    </row>
    <row r="45" ht="37.5" customHeight="1">
      <c r="A45" s="24"/>
      <c r="B45" s="97">
        <v>12.0</v>
      </c>
      <c r="C45" s="99"/>
      <c r="D45" s="100"/>
      <c r="E45" s="101"/>
      <c r="F45" s="86">
        <f>IFERROR(__xludf.DUMMYFUNCTION("""COMPUTED_VALUE"""),0.0)</f>
        <v>0</v>
      </c>
      <c r="G45" s="45"/>
      <c r="H45" s="87">
        <f t="shared" si="9"/>
        <v>0</v>
      </c>
      <c r="I45" s="87">
        <f t="shared" si="10"/>
        <v>0</v>
      </c>
      <c r="J45" s="88" t="str">
        <f t="shared" si="11"/>
        <v/>
      </c>
      <c r="K45" s="88"/>
      <c r="L45" s="89">
        <f t="shared" si="12"/>
        <v>0</v>
      </c>
      <c r="M45" s="88"/>
      <c r="N45" s="88"/>
      <c r="O45" s="90">
        <f t="shared" si="13"/>
        <v>0</v>
      </c>
      <c r="P45" s="91"/>
      <c r="Q45" s="91"/>
      <c r="R45" s="92">
        <f t="shared" si="14"/>
        <v>0</v>
      </c>
      <c r="S45" s="93">
        <f t="shared" si="15"/>
        <v>0</v>
      </c>
      <c r="T45" s="52"/>
      <c r="U45" s="95">
        <f>IFERROR(__xludf.DUMMYFUNCTION("""COMPUTED_VALUE"""),0.0)</f>
        <v>0</v>
      </c>
      <c r="V45" s="24"/>
      <c r="W45" s="24"/>
    </row>
    <row r="46" ht="37.5" customHeight="1">
      <c r="A46" s="24"/>
      <c r="B46" s="97">
        <v>13.0</v>
      </c>
      <c r="C46" s="99"/>
      <c r="D46" s="100"/>
      <c r="E46" s="101"/>
      <c r="F46" s="86">
        <f>IFERROR(__xludf.DUMMYFUNCTION("""COMPUTED_VALUE"""),0.0)</f>
        <v>0</v>
      </c>
      <c r="G46" s="45"/>
      <c r="H46" s="87">
        <f t="shared" si="9"/>
        <v>0</v>
      </c>
      <c r="I46" s="87">
        <f t="shared" si="10"/>
        <v>0</v>
      </c>
      <c r="J46" s="88" t="str">
        <f t="shared" si="11"/>
        <v/>
      </c>
      <c r="K46" s="88"/>
      <c r="L46" s="89">
        <f t="shared" si="12"/>
        <v>0</v>
      </c>
      <c r="M46" s="88"/>
      <c r="N46" s="88"/>
      <c r="O46" s="90">
        <f t="shared" si="13"/>
        <v>0</v>
      </c>
      <c r="P46" s="91"/>
      <c r="Q46" s="91"/>
      <c r="R46" s="92">
        <f t="shared" si="14"/>
        <v>0</v>
      </c>
      <c r="S46" s="93">
        <f t="shared" si="15"/>
        <v>0</v>
      </c>
      <c r="T46" s="52"/>
      <c r="U46" s="95">
        <f>IFERROR(__xludf.DUMMYFUNCTION("""COMPUTED_VALUE"""),0.0)</f>
        <v>0</v>
      </c>
      <c r="V46" s="24"/>
      <c r="W46" s="24"/>
    </row>
    <row r="47" ht="37.5" customHeight="1">
      <c r="A47" s="24"/>
      <c r="B47" s="97">
        <v>14.0</v>
      </c>
      <c r="C47" s="99"/>
      <c r="D47" s="100"/>
      <c r="E47" s="101"/>
      <c r="F47" s="86">
        <f>IFERROR(__xludf.DUMMYFUNCTION("""COMPUTED_VALUE"""),0.0)</f>
        <v>0</v>
      </c>
      <c r="G47" s="45"/>
      <c r="H47" s="87">
        <f t="shared" si="9"/>
        <v>0</v>
      </c>
      <c r="I47" s="87">
        <f t="shared" si="10"/>
        <v>0</v>
      </c>
      <c r="J47" s="88" t="str">
        <f t="shared" si="11"/>
        <v/>
      </c>
      <c r="K47" s="88"/>
      <c r="L47" s="89">
        <f t="shared" si="12"/>
        <v>0</v>
      </c>
      <c r="M47" s="88"/>
      <c r="N47" s="88"/>
      <c r="O47" s="90">
        <f t="shared" si="13"/>
        <v>0</v>
      </c>
      <c r="P47" s="91"/>
      <c r="Q47" s="91"/>
      <c r="R47" s="92">
        <f t="shared" si="14"/>
        <v>0</v>
      </c>
      <c r="S47" s="93">
        <f t="shared" si="15"/>
        <v>0</v>
      </c>
      <c r="T47" s="52"/>
      <c r="U47" s="95">
        <f>IFERROR(__xludf.DUMMYFUNCTION("""COMPUTED_VALUE"""),0.0)</f>
        <v>0</v>
      </c>
      <c r="V47" s="24"/>
      <c r="W47" s="24"/>
    </row>
    <row r="48" ht="37.5" customHeight="1">
      <c r="A48" s="24"/>
      <c r="B48" s="97">
        <v>15.0</v>
      </c>
      <c r="C48" s="99"/>
      <c r="D48" s="100"/>
      <c r="E48" s="101"/>
      <c r="F48" s="86">
        <f>IFERROR(__xludf.DUMMYFUNCTION("""COMPUTED_VALUE"""),0.0)</f>
        <v>0</v>
      </c>
      <c r="G48" s="45"/>
      <c r="H48" s="87">
        <f t="shared" si="9"/>
        <v>0</v>
      </c>
      <c r="I48" s="87">
        <f t="shared" si="10"/>
        <v>0</v>
      </c>
      <c r="J48" s="88" t="str">
        <f t="shared" si="11"/>
        <v/>
      </c>
      <c r="K48" s="88"/>
      <c r="L48" s="89">
        <f t="shared" si="12"/>
        <v>0</v>
      </c>
      <c r="M48" s="88"/>
      <c r="N48" s="88"/>
      <c r="O48" s="90">
        <f t="shared" si="13"/>
        <v>0</v>
      </c>
      <c r="P48" s="91"/>
      <c r="Q48" s="91"/>
      <c r="R48" s="92">
        <f t="shared" si="14"/>
        <v>0</v>
      </c>
      <c r="S48" s="93">
        <f t="shared" si="15"/>
        <v>0</v>
      </c>
      <c r="T48" s="52"/>
      <c r="U48" s="95">
        <f>IFERROR(__xludf.DUMMYFUNCTION("""COMPUTED_VALUE"""),0.0)</f>
        <v>0</v>
      </c>
      <c r="V48" s="24"/>
      <c r="W48" s="24"/>
    </row>
    <row r="49" ht="37.5" customHeight="1">
      <c r="A49" s="24"/>
      <c r="B49" s="97">
        <v>16.0</v>
      </c>
      <c r="C49" s="99"/>
      <c r="D49" s="100"/>
      <c r="E49" s="101"/>
      <c r="F49" s="86">
        <f>IFERROR(__xludf.DUMMYFUNCTION("""COMPUTED_VALUE"""),0.0)</f>
        <v>0</v>
      </c>
      <c r="G49" s="45"/>
      <c r="H49" s="87">
        <f t="shared" si="9"/>
        <v>0</v>
      </c>
      <c r="I49" s="87">
        <f t="shared" si="10"/>
        <v>0</v>
      </c>
      <c r="J49" s="88" t="str">
        <f t="shared" si="11"/>
        <v/>
      </c>
      <c r="K49" s="88"/>
      <c r="L49" s="89">
        <f t="shared" si="12"/>
        <v>0</v>
      </c>
      <c r="M49" s="88"/>
      <c r="N49" s="88"/>
      <c r="O49" s="90">
        <f t="shared" si="13"/>
        <v>0</v>
      </c>
      <c r="P49" s="91"/>
      <c r="Q49" s="91"/>
      <c r="R49" s="92">
        <f t="shared" si="14"/>
        <v>0</v>
      </c>
      <c r="S49" s="93">
        <f t="shared" si="15"/>
        <v>0</v>
      </c>
      <c r="T49" s="52"/>
      <c r="U49" s="95">
        <f>IFERROR(__xludf.DUMMYFUNCTION("""COMPUTED_VALUE"""),0.0)</f>
        <v>0</v>
      </c>
      <c r="V49" s="24"/>
      <c r="W49" s="24"/>
    </row>
    <row r="50" ht="37.5" customHeight="1">
      <c r="A50" s="24"/>
      <c r="B50" s="97">
        <v>17.0</v>
      </c>
      <c r="C50" s="99"/>
      <c r="D50" s="100"/>
      <c r="E50" s="101"/>
      <c r="F50" s="86">
        <f>IFERROR(__xludf.DUMMYFUNCTION("""COMPUTED_VALUE"""),0.0)</f>
        <v>0</v>
      </c>
      <c r="G50" s="45"/>
      <c r="H50" s="87">
        <f t="shared" si="9"/>
        <v>0</v>
      </c>
      <c r="I50" s="87">
        <f t="shared" si="10"/>
        <v>0</v>
      </c>
      <c r="J50" s="88" t="str">
        <f t="shared" si="11"/>
        <v/>
      </c>
      <c r="K50" s="88"/>
      <c r="L50" s="89">
        <f t="shared" si="12"/>
        <v>0</v>
      </c>
      <c r="M50" s="88"/>
      <c r="N50" s="88"/>
      <c r="O50" s="90">
        <f t="shared" si="13"/>
        <v>0</v>
      </c>
      <c r="P50" s="91"/>
      <c r="Q50" s="91"/>
      <c r="R50" s="92">
        <f t="shared" si="14"/>
        <v>0</v>
      </c>
      <c r="S50" s="93">
        <f t="shared" si="15"/>
        <v>0</v>
      </c>
      <c r="T50" s="94"/>
      <c r="U50" s="95">
        <f>IFERROR(__xludf.DUMMYFUNCTION("""COMPUTED_VALUE"""),0.0)</f>
        <v>0</v>
      </c>
      <c r="V50" s="24"/>
      <c r="W50" s="24"/>
    </row>
    <row r="51" ht="37.5" customHeight="1">
      <c r="A51" s="24"/>
      <c r="B51" s="97">
        <v>18.0</v>
      </c>
      <c r="C51" s="99"/>
      <c r="D51" s="101"/>
      <c r="E51" s="101"/>
      <c r="F51" s="102">
        <f>IFERROR(__xludf.DUMMYFUNCTION("""COMPUTED_VALUE"""),0.0)</f>
        <v>0</v>
      </c>
      <c r="G51" s="53"/>
      <c r="H51" s="87">
        <f t="shared" si="9"/>
        <v>0</v>
      </c>
      <c r="I51" s="87">
        <f t="shared" si="10"/>
        <v>0</v>
      </c>
      <c r="J51" s="88" t="str">
        <f t="shared" si="11"/>
        <v/>
      </c>
      <c r="K51" s="88"/>
      <c r="L51" s="89">
        <f t="shared" si="12"/>
        <v>0</v>
      </c>
      <c r="M51" s="88"/>
      <c r="N51" s="88"/>
      <c r="O51" s="90">
        <f t="shared" si="13"/>
        <v>0</v>
      </c>
      <c r="P51" s="91"/>
      <c r="Q51" s="91"/>
      <c r="R51" s="92">
        <f t="shared" si="14"/>
        <v>0</v>
      </c>
      <c r="S51" s="93">
        <f t="shared" si="15"/>
        <v>0</v>
      </c>
      <c r="T51" s="101"/>
      <c r="U51" s="95">
        <f>IFERROR(__xludf.DUMMYFUNCTION("""COMPUTED_VALUE"""),0.0)</f>
        <v>0</v>
      </c>
      <c r="V51" s="24"/>
      <c r="W51" s="24"/>
    </row>
    <row r="52" ht="37.5" customHeight="1">
      <c r="A52" s="24"/>
      <c r="B52" s="97">
        <v>19.0</v>
      </c>
      <c r="C52" s="99"/>
      <c r="D52" s="101"/>
      <c r="E52" s="101"/>
      <c r="F52" s="102">
        <f>IFERROR(__xludf.DUMMYFUNCTION("""COMPUTED_VALUE"""),0.0)</f>
        <v>0</v>
      </c>
      <c r="G52" s="53"/>
      <c r="H52" s="87">
        <f t="shared" si="9"/>
        <v>0</v>
      </c>
      <c r="I52" s="87">
        <f t="shared" si="10"/>
        <v>0</v>
      </c>
      <c r="J52" s="88" t="str">
        <f t="shared" si="11"/>
        <v/>
      </c>
      <c r="K52" s="88"/>
      <c r="L52" s="89">
        <f t="shared" si="12"/>
        <v>0</v>
      </c>
      <c r="M52" s="88"/>
      <c r="N52" s="88"/>
      <c r="O52" s="90">
        <f t="shared" si="13"/>
        <v>0</v>
      </c>
      <c r="P52" s="91"/>
      <c r="Q52" s="91"/>
      <c r="R52" s="92">
        <f t="shared" si="14"/>
        <v>0</v>
      </c>
      <c r="S52" s="93">
        <f t="shared" si="15"/>
        <v>0</v>
      </c>
      <c r="T52" s="101"/>
      <c r="U52" s="95">
        <f>IFERROR(__xludf.DUMMYFUNCTION("""COMPUTED_VALUE"""),0.0)</f>
        <v>0</v>
      </c>
      <c r="V52" s="24"/>
      <c r="W52" s="24"/>
    </row>
    <row r="53" ht="37.5" customHeight="1">
      <c r="A53" s="24"/>
      <c r="B53" s="97">
        <v>20.0</v>
      </c>
      <c r="C53" s="99"/>
      <c r="D53" s="101"/>
      <c r="E53" s="101"/>
      <c r="F53" s="102"/>
      <c r="G53" s="53"/>
      <c r="H53" s="87">
        <f t="shared" si="9"/>
        <v>0</v>
      </c>
      <c r="I53" s="87">
        <f t="shared" si="10"/>
        <v>0</v>
      </c>
      <c r="J53" s="88" t="str">
        <f t="shared" si="11"/>
        <v/>
      </c>
      <c r="K53" s="88"/>
      <c r="L53" s="89">
        <f t="shared" si="12"/>
        <v>0</v>
      </c>
      <c r="M53" s="88"/>
      <c r="N53" s="88"/>
      <c r="O53" s="90">
        <f t="shared" si="13"/>
        <v>0</v>
      </c>
      <c r="P53" s="91"/>
      <c r="Q53" s="91"/>
      <c r="R53" s="92">
        <f t="shared" si="14"/>
        <v>0</v>
      </c>
      <c r="S53" s="93">
        <f t="shared" si="15"/>
        <v>0</v>
      </c>
      <c r="T53" s="101"/>
      <c r="U53" s="95">
        <f>IFERROR(__xludf.DUMMYFUNCTION("""COMPUTED_VALUE"""),0.0)</f>
        <v>0</v>
      </c>
      <c r="V53" s="24"/>
      <c r="W53" s="24"/>
    </row>
    <row r="54" ht="37.5" customHeight="1">
      <c r="B54" s="97">
        <v>21.0</v>
      </c>
      <c r="C54" s="99"/>
      <c r="D54" s="101"/>
      <c r="E54" s="101"/>
      <c r="F54" s="102"/>
      <c r="G54" s="53"/>
      <c r="H54" s="87">
        <f t="shared" si="9"/>
        <v>0</v>
      </c>
      <c r="I54" s="87">
        <f t="shared" si="10"/>
        <v>0</v>
      </c>
      <c r="J54" s="88" t="str">
        <f t="shared" si="11"/>
        <v/>
      </c>
      <c r="K54" s="88"/>
      <c r="L54" s="89">
        <f t="shared" si="12"/>
        <v>0</v>
      </c>
      <c r="M54" s="88"/>
      <c r="N54" s="88"/>
      <c r="O54" s="90">
        <f t="shared" si="13"/>
        <v>0</v>
      </c>
      <c r="P54" s="91"/>
      <c r="Q54" s="91"/>
      <c r="R54" s="92">
        <f t="shared" si="14"/>
        <v>0</v>
      </c>
      <c r="S54" s="93">
        <f t="shared" si="15"/>
        <v>0</v>
      </c>
      <c r="T54" s="101"/>
      <c r="U54" s="95"/>
    </row>
    <row r="55" ht="37.5" customHeight="1">
      <c r="B55" s="97">
        <v>22.0</v>
      </c>
      <c r="C55" s="99"/>
      <c r="D55" s="101"/>
      <c r="E55" s="101"/>
      <c r="F55" s="102"/>
      <c r="G55" s="53"/>
      <c r="H55" s="87">
        <f t="shared" si="9"/>
        <v>0</v>
      </c>
      <c r="I55" s="87">
        <f t="shared" si="10"/>
        <v>0</v>
      </c>
      <c r="J55" s="88" t="str">
        <f t="shared" si="11"/>
        <v/>
      </c>
      <c r="K55" s="88"/>
      <c r="L55" s="89">
        <f t="shared" si="12"/>
        <v>0</v>
      </c>
      <c r="M55" s="88"/>
      <c r="N55" s="88"/>
      <c r="O55" s="90">
        <f t="shared" si="13"/>
        <v>0</v>
      </c>
      <c r="P55" s="91"/>
      <c r="Q55" s="91"/>
      <c r="R55" s="92">
        <f t="shared" si="14"/>
        <v>0</v>
      </c>
      <c r="S55" s="93">
        <f t="shared" si="15"/>
        <v>0</v>
      </c>
      <c r="T55" s="101"/>
      <c r="U55" s="95"/>
    </row>
    <row r="56" ht="37.5" customHeight="1">
      <c r="B56" s="103"/>
      <c r="F56" s="104" t="s">
        <v>21</v>
      </c>
      <c r="S56" s="105">
        <f>SUM(S34:S55)</f>
        <v>3720000</v>
      </c>
      <c r="T56" s="106"/>
      <c r="U56" s="107"/>
    </row>
    <row r="57" ht="37.5" customHeight="1"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10"/>
    </row>
    <row r="58" ht="37.5" customHeight="1">
      <c r="B58" s="82" t="str">
        <f>IFERROR(__xludf.DUMMYFUNCTION("IMPORTRANGE(""https://docs.google.com/spreadsheets/d/17TnzcKnlaqlAyM_3lnNpgK5CAOPbscCCRVH50X8UulY/edit?usp=sharing"",""MARET!B50"")"),"TANGGAL : 16-21 MARET 2026")</f>
        <v>TANGGAL : 16-21 MARET 2026</v>
      </c>
      <c r="F58" s="83"/>
      <c r="G58" s="83"/>
      <c r="H58" s="83"/>
      <c r="I58" s="83"/>
      <c r="J58" s="83"/>
      <c r="K58" s="83"/>
      <c r="L58" s="84">
        <v>15000.0</v>
      </c>
      <c r="M58" s="83"/>
      <c r="N58" s="83"/>
      <c r="O58" s="83"/>
      <c r="P58" s="83"/>
      <c r="Q58" s="83"/>
      <c r="R58" s="83"/>
      <c r="S58" s="83"/>
      <c r="T58" s="83"/>
      <c r="U58" s="85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IFERROR(__xludf.DUMMYFUNCTION("IMPORTRANGE(""https://docs.google.com/spreadsheets/d/17TnzcKnlaqlAyM_3lnNpgK5CAOPbscCCRVH50X8UulY/edit?usp=sharing"",""MARET!B51:D70"")"),"DENI")</f>
        <v>DENI</v>
      </c>
      <c r="D59" s="27" t="str">
        <f>IFERROR(__xludf.DUMMYFUNCTION("""COMPUTED_VALUE"""),"KEPALA")</f>
        <v>KEPALA</v>
      </c>
      <c r="E59" s="28" t="str">
        <f>IFERROR(__xludf.DUMMYFUNCTION("""COMPUTED_VALUE"""),"SHIFT 1")</f>
        <v>SHIFT 1</v>
      </c>
      <c r="F59" s="86">
        <f>IFERROR(__xludf.DUMMYFUNCTION("IMPORTRANGE(""https://docs.google.com/spreadsheets/d/17TnzcKnlaqlAyM_3lnNpgK5CAOPbscCCRVH50X8UulY/edit?usp=sharing"",""MARET!K51:K69"")"),0.0)</f>
        <v>0</v>
      </c>
      <c r="G59" s="30">
        <v>110000.0</v>
      </c>
      <c r="H59" s="87">
        <f t="shared" ref="H59:H80" si="16">F59*G59</f>
        <v>0</v>
      </c>
      <c r="I59" s="87">
        <f t="shared" ref="I59:I80" si="17">F59*10000</f>
        <v>0</v>
      </c>
      <c r="J59" s="88" t="str">
        <f t="shared" ref="J59:J80" si="18">IF(E59="SHIFT 2",I59,"")</f>
        <v/>
      </c>
      <c r="K59" s="88"/>
      <c r="L59" s="89">
        <f t="shared" ref="L59:L80" si="19">U59*$L$58</f>
        <v>0</v>
      </c>
      <c r="M59" s="88"/>
      <c r="N59" s="88"/>
      <c r="O59" s="90">
        <f t="shared" ref="O59:O80" si="20">SUM(H59:N59)</f>
        <v>0</v>
      </c>
      <c r="P59" s="36"/>
      <c r="Q59" s="36"/>
      <c r="R59" s="92">
        <f t="shared" ref="R59:R80" si="21">SUM(P59:Q59)</f>
        <v>0</v>
      </c>
      <c r="S59" s="93">
        <f t="shared" ref="S59:S80" si="22">O59-R59</f>
        <v>0</v>
      </c>
      <c r="T59" s="52" t="str">
        <f>IFERROR(__xludf.DUMMYFUNCTION("IMPORTRANGE(""https://docs.google.com/spreadsheets/d/17TnzcKnlaqlAyM_3lnNpgK5CAOPbscCCRVH50X8UulY/edit?usp=sharing"",""MARET!L51:L70"")"),"")</f>
        <v/>
      </c>
      <c r="U59" s="95">
        <f>IFERROR(__xludf.DUMMYFUNCTION("IMPORTRANGE(""https://docs.google.com/spreadsheets/d/17TnzcKnlaqlAyM_3lnNpgK5CAOPbscCCRVH50X8UulY/edit?usp=sharing"",""MARET!U51:U70"")"),0.0)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 t="str">
        <f>IFERROR(__xludf.DUMMYFUNCTION("""COMPUTED_VALUE"""),"SHIFT 1")</f>
        <v>SHIFT 1</v>
      </c>
      <c r="F60" s="86">
        <f>IFERROR(__xludf.DUMMYFUNCTION("""COMPUTED_VALUE"""),3.0)</f>
        <v>3</v>
      </c>
      <c r="G60" s="30">
        <v>70000.0</v>
      </c>
      <c r="H60" s="87">
        <f t="shared" si="16"/>
        <v>210000</v>
      </c>
      <c r="I60" s="87">
        <f t="shared" si="17"/>
        <v>30000</v>
      </c>
      <c r="J60" s="88" t="str">
        <f t="shared" si="18"/>
        <v/>
      </c>
      <c r="K60" s="96"/>
      <c r="L60" s="89">
        <f t="shared" si="19"/>
        <v>135000</v>
      </c>
      <c r="M60" s="96"/>
      <c r="N60" s="96"/>
      <c r="O60" s="90">
        <f t="shared" si="20"/>
        <v>375000</v>
      </c>
      <c r="P60" s="36"/>
      <c r="Q60" s="36"/>
      <c r="R60" s="92">
        <f t="shared" si="21"/>
        <v>0</v>
      </c>
      <c r="S60" s="93">
        <f t="shared" si="22"/>
        <v>375000</v>
      </c>
      <c r="T60" s="52"/>
      <c r="U60" s="95">
        <f>IFERROR(__xludf.DUMMYFUNCTION("""COMPUTED_VALUE"""),9.0)</f>
        <v>9</v>
      </c>
      <c r="V60" s="24"/>
      <c r="W60" s="24"/>
    </row>
    <row r="61" ht="37.5" customHeight="1">
      <c r="A61" s="24"/>
      <c r="B61" s="25">
        <v>3.0</v>
      </c>
      <c r="C61" s="26" t="str">
        <f>IFERROR(__xludf.DUMMYFUNCTION("""COMPUTED_VALUE"""),"ANDRI")</f>
        <v>ANDRI</v>
      </c>
      <c r="D61" s="27" t="str">
        <f>IFERROR(__xludf.DUMMYFUNCTION("""COMPUTED_VALUE"""),"DESIGN BORDIR")</f>
        <v>DESIGN BORDIR</v>
      </c>
      <c r="E61" s="28" t="str">
        <f>IFERROR(__xludf.DUMMYFUNCTION("""COMPUTED_VALUE"""),"SHIFT 1")</f>
        <v>SHIFT 1</v>
      </c>
      <c r="F61" s="86">
        <f>IFERROR(__xludf.DUMMYFUNCTION("""COMPUTED_VALUE"""),3.0)</f>
        <v>3</v>
      </c>
      <c r="G61" s="30">
        <v>70000.0</v>
      </c>
      <c r="H61" s="87">
        <f t="shared" si="16"/>
        <v>210000</v>
      </c>
      <c r="I61" s="87">
        <f t="shared" si="17"/>
        <v>30000</v>
      </c>
      <c r="J61" s="88" t="str">
        <f t="shared" si="18"/>
        <v/>
      </c>
      <c r="K61" s="96"/>
      <c r="L61" s="89">
        <f t="shared" si="19"/>
        <v>135000</v>
      </c>
      <c r="M61" s="96"/>
      <c r="N61" s="96"/>
      <c r="O61" s="90">
        <f t="shared" si="20"/>
        <v>375000</v>
      </c>
      <c r="P61" s="35"/>
      <c r="Q61" s="36"/>
      <c r="R61" s="92">
        <f t="shared" si="21"/>
        <v>0</v>
      </c>
      <c r="S61" s="93">
        <f t="shared" si="22"/>
        <v>375000</v>
      </c>
      <c r="T61" s="52"/>
      <c r="U61" s="95">
        <f>IFERROR(__xludf.DUMMYFUNCTION("""COMPUTED_VALUE"""),9.0)</f>
        <v>9</v>
      </c>
      <c r="V61" s="24"/>
      <c r="W61" s="24"/>
    </row>
    <row r="62" ht="37.5" customHeight="1">
      <c r="B62" s="97">
        <v>4.0</v>
      </c>
      <c r="C62" s="26" t="str">
        <f>IFERROR(__xludf.DUMMYFUNCTION("""COMPUTED_VALUE"""),"ADIT")</f>
        <v>ADIT</v>
      </c>
      <c r="D62" s="27" t="str">
        <f>IFERROR(__xludf.DUMMYFUNCTION("""COMPUTED_VALUE"""),"CREATOR")</f>
        <v>CREATOR</v>
      </c>
      <c r="E62" s="28" t="str">
        <f>IFERROR(__xludf.DUMMYFUNCTION("""COMPUTED_VALUE"""),"SHIFT 1")</f>
        <v>SHIFT 1</v>
      </c>
      <c r="F62" s="86">
        <f>IFERROR(__xludf.DUMMYFUNCTION("""COMPUTED_VALUE"""),1.0)</f>
        <v>1</v>
      </c>
      <c r="G62" s="30">
        <v>50000.0</v>
      </c>
      <c r="H62" s="87">
        <f t="shared" si="16"/>
        <v>50000</v>
      </c>
      <c r="I62" s="87">
        <f t="shared" si="17"/>
        <v>10000</v>
      </c>
      <c r="J62" s="88" t="str">
        <f t="shared" si="18"/>
        <v/>
      </c>
      <c r="K62" s="88"/>
      <c r="L62" s="89">
        <f t="shared" si="19"/>
        <v>0</v>
      </c>
      <c r="M62" s="88"/>
      <c r="N62" s="88"/>
      <c r="O62" s="90">
        <f t="shared" si="20"/>
        <v>60000</v>
      </c>
      <c r="P62" s="36"/>
      <c r="Q62" s="36"/>
      <c r="R62" s="92">
        <f t="shared" si="21"/>
        <v>0</v>
      </c>
      <c r="S62" s="93">
        <f t="shared" si="22"/>
        <v>60000</v>
      </c>
      <c r="T62" s="52"/>
      <c r="U62" s="95">
        <f>IFERROR(__xludf.DUMMYFUNCTION("""COMPUTED_VALUE"""),0.0)</f>
        <v>0</v>
      </c>
      <c r="V62" s="63"/>
      <c r="W62" s="63"/>
    </row>
    <row r="63" ht="37.5" customHeight="1">
      <c r="B63" s="97">
        <v>5.0</v>
      </c>
      <c r="C63" s="26" t="str">
        <f>IFERROR(__xludf.DUMMYFUNCTION("""COMPUTED_VALUE"""),"EPUL")</f>
        <v>EPUL</v>
      </c>
      <c r="D63" s="27" t="str">
        <f>IFERROR(__xludf.DUMMYFUNCTION("""COMPUTED_VALUE"""),"DESIGN BORDIR")</f>
        <v>DESIGN BORDIR</v>
      </c>
      <c r="E63" s="28" t="str">
        <f>IFERROR(__xludf.DUMMYFUNCTION("""COMPUTED_VALUE"""),"SHIFT 1")</f>
        <v>SHIFT 1</v>
      </c>
      <c r="F63" s="86">
        <f>IFERROR(__xludf.DUMMYFUNCTION("""COMPUTED_VALUE"""),3.0)</f>
        <v>3</v>
      </c>
      <c r="G63" s="30">
        <v>70000.0</v>
      </c>
      <c r="H63" s="87">
        <f t="shared" si="16"/>
        <v>210000</v>
      </c>
      <c r="I63" s="87">
        <f t="shared" si="17"/>
        <v>30000</v>
      </c>
      <c r="J63" s="88" t="str">
        <f t="shared" si="18"/>
        <v/>
      </c>
      <c r="K63" s="88"/>
      <c r="L63" s="89">
        <f t="shared" si="19"/>
        <v>135000</v>
      </c>
      <c r="M63" s="88"/>
      <c r="N63" s="88"/>
      <c r="O63" s="90">
        <f t="shared" si="20"/>
        <v>375000</v>
      </c>
      <c r="P63" s="36"/>
      <c r="Q63" s="36"/>
      <c r="R63" s="92">
        <f t="shared" si="21"/>
        <v>0</v>
      </c>
      <c r="S63" s="93">
        <f t="shared" si="22"/>
        <v>375000</v>
      </c>
      <c r="T63" s="52"/>
      <c r="U63" s="95">
        <f>IFERROR(__xludf.DUMMYFUNCTION("""COMPUTED_VALUE"""),9.0)</f>
        <v>9</v>
      </c>
      <c r="V63" s="63"/>
      <c r="W63" s="63"/>
    </row>
    <row r="64" ht="37.5" customHeight="1">
      <c r="B64" s="97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 t="str">
        <f>IFERROR(__xludf.DUMMYFUNCTION("""COMPUTED_VALUE"""),"SHIFT 1")</f>
        <v>SHIFT 1</v>
      </c>
      <c r="F64" s="86">
        <f>IFERROR(__xludf.DUMMYFUNCTION("""COMPUTED_VALUE"""),3.0)</f>
        <v>3</v>
      </c>
      <c r="G64" s="30">
        <v>70000.0</v>
      </c>
      <c r="H64" s="87">
        <f t="shared" si="16"/>
        <v>210000</v>
      </c>
      <c r="I64" s="87">
        <f t="shared" si="17"/>
        <v>30000</v>
      </c>
      <c r="J64" s="88" t="str">
        <f t="shared" si="18"/>
        <v/>
      </c>
      <c r="K64" s="88"/>
      <c r="L64" s="89">
        <f t="shared" si="19"/>
        <v>135000</v>
      </c>
      <c r="M64" s="88"/>
      <c r="N64" s="88"/>
      <c r="O64" s="90">
        <f t="shared" si="20"/>
        <v>375000</v>
      </c>
      <c r="P64" s="36"/>
      <c r="Q64" s="36"/>
      <c r="R64" s="92">
        <f t="shared" si="21"/>
        <v>0</v>
      </c>
      <c r="S64" s="93">
        <f t="shared" si="22"/>
        <v>375000</v>
      </c>
      <c r="T64" s="52"/>
      <c r="U64" s="95">
        <f>IFERROR(__xludf.DUMMYFUNCTION("""COMPUTED_VALUE"""),9.0)</f>
        <v>9</v>
      </c>
      <c r="V64" s="63"/>
      <c r="W64" s="63"/>
    </row>
    <row r="65" ht="37.5" customHeight="1">
      <c r="B65" s="97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 t="str">
        <f>IFERROR(__xludf.DUMMYFUNCTION("""COMPUTED_VALUE"""),"SHIFT 1")</f>
        <v>SHIFT 1</v>
      </c>
      <c r="F65" s="86">
        <f>IFERROR(__xludf.DUMMYFUNCTION("""COMPUTED_VALUE"""),3.0)</f>
        <v>3</v>
      </c>
      <c r="G65" s="30">
        <v>70000.0</v>
      </c>
      <c r="H65" s="87">
        <f t="shared" si="16"/>
        <v>210000</v>
      </c>
      <c r="I65" s="87">
        <f t="shared" si="17"/>
        <v>30000</v>
      </c>
      <c r="J65" s="88" t="str">
        <f t="shared" si="18"/>
        <v/>
      </c>
      <c r="K65" s="88"/>
      <c r="L65" s="89">
        <f t="shared" si="19"/>
        <v>30000</v>
      </c>
      <c r="M65" s="88"/>
      <c r="N65" s="88"/>
      <c r="O65" s="90">
        <f t="shared" si="20"/>
        <v>270000</v>
      </c>
      <c r="P65" s="36"/>
      <c r="Q65" s="36"/>
      <c r="R65" s="92">
        <f t="shared" si="21"/>
        <v>0</v>
      </c>
      <c r="S65" s="93">
        <f t="shared" si="22"/>
        <v>270000</v>
      </c>
      <c r="T65" s="52"/>
      <c r="U65" s="95">
        <f>IFERROR(__xludf.DUMMYFUNCTION("""COMPUTED_VALUE"""),2.0)</f>
        <v>2</v>
      </c>
    </row>
    <row r="66" ht="37.5" customHeight="1">
      <c r="B66" s="97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 t="str">
        <f>IFERROR(__xludf.DUMMYFUNCTION("""COMPUTED_VALUE"""),"SHIFT 1")</f>
        <v>SHIFT 1</v>
      </c>
      <c r="F66" s="86">
        <f>IFERROR(__xludf.DUMMYFUNCTION("""COMPUTED_VALUE"""),3.0)</f>
        <v>3</v>
      </c>
      <c r="G66" s="30">
        <v>50000.0</v>
      </c>
      <c r="H66" s="87">
        <f t="shared" si="16"/>
        <v>150000</v>
      </c>
      <c r="I66" s="87">
        <f t="shared" si="17"/>
        <v>30000</v>
      </c>
      <c r="J66" s="88" t="str">
        <f t="shared" si="18"/>
        <v/>
      </c>
      <c r="K66" s="88"/>
      <c r="L66" s="89">
        <f t="shared" si="19"/>
        <v>30000</v>
      </c>
      <c r="M66" s="88"/>
      <c r="N66" s="88"/>
      <c r="O66" s="90">
        <f t="shared" si="20"/>
        <v>210000</v>
      </c>
      <c r="P66" s="36"/>
      <c r="Q66" s="36"/>
      <c r="R66" s="92">
        <f t="shared" si="21"/>
        <v>0</v>
      </c>
      <c r="S66" s="93">
        <f t="shared" si="22"/>
        <v>210000</v>
      </c>
      <c r="T66" s="52"/>
      <c r="U66" s="95">
        <f>IFERROR(__xludf.DUMMYFUNCTION("""COMPUTED_VALUE"""),2.0)</f>
        <v>2</v>
      </c>
    </row>
    <row r="67" ht="37.5" customHeight="1">
      <c r="B67" s="97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 t="str">
        <f>IFERROR(__xludf.DUMMYFUNCTION("""COMPUTED_VALUE"""),"SHIFT 1")</f>
        <v>SHIFT 1</v>
      </c>
      <c r="F67" s="86">
        <f>IFERROR(__xludf.DUMMYFUNCTION("""COMPUTED_VALUE"""),3.0)</f>
        <v>3</v>
      </c>
      <c r="G67" s="30">
        <v>50000.0</v>
      </c>
      <c r="H67" s="87">
        <f t="shared" si="16"/>
        <v>150000</v>
      </c>
      <c r="I67" s="87">
        <f t="shared" si="17"/>
        <v>30000</v>
      </c>
      <c r="J67" s="88" t="str">
        <f t="shared" si="18"/>
        <v/>
      </c>
      <c r="K67" s="88"/>
      <c r="L67" s="89">
        <f t="shared" si="19"/>
        <v>135000</v>
      </c>
      <c r="M67" s="88"/>
      <c r="N67" s="88"/>
      <c r="O67" s="90">
        <f t="shared" si="20"/>
        <v>315000</v>
      </c>
      <c r="P67" s="36"/>
      <c r="Q67" s="36"/>
      <c r="R67" s="92">
        <f t="shared" si="21"/>
        <v>0</v>
      </c>
      <c r="S67" s="93">
        <f t="shared" si="22"/>
        <v>315000</v>
      </c>
      <c r="T67" s="94"/>
      <c r="U67" s="95">
        <f>IFERROR(__xludf.DUMMYFUNCTION("""COMPUTED_VALUE"""),9.0)</f>
        <v>9</v>
      </c>
    </row>
    <row r="68" ht="37.5" customHeight="1">
      <c r="B68" s="97">
        <v>10.0</v>
      </c>
      <c r="C68" s="99"/>
      <c r="D68" s="100"/>
      <c r="E68" s="101"/>
      <c r="F68" s="86">
        <f>IFERROR(__xludf.DUMMYFUNCTION("""COMPUTED_VALUE"""),0.0)</f>
        <v>0</v>
      </c>
      <c r="G68" s="45"/>
      <c r="H68" s="87">
        <f t="shared" si="16"/>
        <v>0</v>
      </c>
      <c r="I68" s="87">
        <f t="shared" si="17"/>
        <v>0</v>
      </c>
      <c r="J68" s="88" t="str">
        <f t="shared" si="18"/>
        <v/>
      </c>
      <c r="K68" s="88"/>
      <c r="L68" s="89">
        <f t="shared" si="19"/>
        <v>0</v>
      </c>
      <c r="M68" s="88"/>
      <c r="N68" s="88"/>
      <c r="O68" s="90">
        <f t="shared" si="20"/>
        <v>0</v>
      </c>
      <c r="P68" s="91"/>
      <c r="Q68" s="91"/>
      <c r="R68" s="92">
        <f t="shared" si="21"/>
        <v>0</v>
      </c>
      <c r="S68" s="93">
        <f t="shared" si="22"/>
        <v>0</v>
      </c>
      <c r="T68" s="94"/>
      <c r="U68" s="95">
        <f>IFERROR(__xludf.DUMMYFUNCTION("""COMPUTED_VALUE"""),0.0)</f>
        <v>0</v>
      </c>
    </row>
    <row r="69" ht="37.5" customHeight="1">
      <c r="B69" s="97">
        <v>11.0</v>
      </c>
      <c r="C69" s="99"/>
      <c r="D69" s="100"/>
      <c r="E69" s="101"/>
      <c r="F69" s="86">
        <f>IFERROR(__xludf.DUMMYFUNCTION("""COMPUTED_VALUE"""),0.0)</f>
        <v>0</v>
      </c>
      <c r="G69" s="45"/>
      <c r="H69" s="87">
        <f t="shared" si="16"/>
        <v>0</v>
      </c>
      <c r="I69" s="87">
        <f t="shared" si="17"/>
        <v>0</v>
      </c>
      <c r="J69" s="88" t="str">
        <f t="shared" si="18"/>
        <v/>
      </c>
      <c r="K69" s="88"/>
      <c r="L69" s="89">
        <f t="shared" si="19"/>
        <v>0</v>
      </c>
      <c r="M69" s="88"/>
      <c r="N69" s="88"/>
      <c r="O69" s="90">
        <f t="shared" si="20"/>
        <v>0</v>
      </c>
      <c r="P69" s="91"/>
      <c r="Q69" s="91"/>
      <c r="R69" s="92">
        <f t="shared" si="21"/>
        <v>0</v>
      </c>
      <c r="S69" s="93">
        <f t="shared" si="22"/>
        <v>0</v>
      </c>
      <c r="T69" s="94"/>
      <c r="U69" s="95">
        <f>IFERROR(__xludf.DUMMYFUNCTION("""COMPUTED_VALUE"""),0.0)</f>
        <v>0</v>
      </c>
    </row>
    <row r="70" ht="37.5" customHeight="1">
      <c r="B70" s="97">
        <v>12.0</v>
      </c>
      <c r="C70" s="99"/>
      <c r="D70" s="100"/>
      <c r="E70" s="101"/>
      <c r="F70" s="86">
        <f>IFERROR(__xludf.DUMMYFUNCTION("""COMPUTED_VALUE"""),0.0)</f>
        <v>0</v>
      </c>
      <c r="G70" s="45"/>
      <c r="H70" s="87">
        <f t="shared" si="16"/>
        <v>0</v>
      </c>
      <c r="I70" s="87">
        <f t="shared" si="17"/>
        <v>0</v>
      </c>
      <c r="J70" s="88" t="str">
        <f t="shared" si="18"/>
        <v/>
      </c>
      <c r="K70" s="88"/>
      <c r="L70" s="89">
        <f t="shared" si="19"/>
        <v>0</v>
      </c>
      <c r="M70" s="88"/>
      <c r="N70" s="88"/>
      <c r="O70" s="90">
        <f t="shared" si="20"/>
        <v>0</v>
      </c>
      <c r="P70" s="91"/>
      <c r="Q70" s="91"/>
      <c r="R70" s="92">
        <f t="shared" si="21"/>
        <v>0</v>
      </c>
      <c r="S70" s="93">
        <f t="shared" si="22"/>
        <v>0</v>
      </c>
      <c r="T70" s="94"/>
      <c r="U70" s="95">
        <f>IFERROR(__xludf.DUMMYFUNCTION("""COMPUTED_VALUE"""),0.0)</f>
        <v>0</v>
      </c>
    </row>
    <row r="71" ht="37.5" customHeight="1">
      <c r="B71" s="97">
        <v>13.0</v>
      </c>
      <c r="C71" s="99"/>
      <c r="D71" s="100"/>
      <c r="E71" s="101"/>
      <c r="F71" s="86">
        <f>IFERROR(__xludf.DUMMYFUNCTION("""COMPUTED_VALUE"""),0.0)</f>
        <v>0</v>
      </c>
      <c r="G71" s="45"/>
      <c r="H71" s="87">
        <f t="shared" si="16"/>
        <v>0</v>
      </c>
      <c r="I71" s="87">
        <f t="shared" si="17"/>
        <v>0</v>
      </c>
      <c r="J71" s="88" t="str">
        <f t="shared" si="18"/>
        <v/>
      </c>
      <c r="K71" s="88"/>
      <c r="L71" s="89">
        <f t="shared" si="19"/>
        <v>0</v>
      </c>
      <c r="M71" s="88"/>
      <c r="N71" s="88"/>
      <c r="O71" s="90">
        <f t="shared" si="20"/>
        <v>0</v>
      </c>
      <c r="P71" s="91"/>
      <c r="Q71" s="91"/>
      <c r="R71" s="92">
        <f t="shared" si="21"/>
        <v>0</v>
      </c>
      <c r="S71" s="93">
        <f t="shared" si="22"/>
        <v>0</v>
      </c>
      <c r="T71" s="94"/>
      <c r="U71" s="95">
        <f>IFERROR(__xludf.DUMMYFUNCTION("""COMPUTED_VALUE"""),0.0)</f>
        <v>0</v>
      </c>
    </row>
    <row r="72" ht="37.5" customHeight="1">
      <c r="B72" s="97">
        <v>14.0</v>
      </c>
      <c r="C72" s="99"/>
      <c r="D72" s="100"/>
      <c r="E72" s="101"/>
      <c r="F72" s="86">
        <f>IFERROR(__xludf.DUMMYFUNCTION("""COMPUTED_VALUE"""),0.0)</f>
        <v>0</v>
      </c>
      <c r="G72" s="45"/>
      <c r="H72" s="87">
        <f t="shared" si="16"/>
        <v>0</v>
      </c>
      <c r="I72" s="87">
        <f t="shared" si="17"/>
        <v>0</v>
      </c>
      <c r="J72" s="88" t="str">
        <f t="shared" si="18"/>
        <v/>
      </c>
      <c r="K72" s="88"/>
      <c r="L72" s="89">
        <f t="shared" si="19"/>
        <v>0</v>
      </c>
      <c r="M72" s="88"/>
      <c r="N72" s="88"/>
      <c r="O72" s="90">
        <f t="shared" si="20"/>
        <v>0</v>
      </c>
      <c r="P72" s="91"/>
      <c r="Q72" s="91"/>
      <c r="R72" s="92">
        <f t="shared" si="21"/>
        <v>0</v>
      </c>
      <c r="S72" s="93">
        <f t="shared" si="22"/>
        <v>0</v>
      </c>
      <c r="T72" s="94"/>
      <c r="U72" s="95">
        <f>IFERROR(__xludf.DUMMYFUNCTION("""COMPUTED_VALUE"""),0.0)</f>
        <v>0</v>
      </c>
    </row>
    <row r="73" ht="37.5" customHeight="1">
      <c r="B73" s="97">
        <v>15.0</v>
      </c>
      <c r="C73" s="99"/>
      <c r="D73" s="100"/>
      <c r="E73" s="101"/>
      <c r="F73" s="86">
        <f>IFERROR(__xludf.DUMMYFUNCTION("""COMPUTED_VALUE"""),0.0)</f>
        <v>0</v>
      </c>
      <c r="G73" s="45"/>
      <c r="H73" s="87">
        <f t="shared" si="16"/>
        <v>0</v>
      </c>
      <c r="I73" s="87">
        <f t="shared" si="17"/>
        <v>0</v>
      </c>
      <c r="J73" s="88" t="str">
        <f t="shared" si="18"/>
        <v/>
      </c>
      <c r="K73" s="88"/>
      <c r="L73" s="89">
        <f t="shared" si="19"/>
        <v>0</v>
      </c>
      <c r="M73" s="88"/>
      <c r="N73" s="88"/>
      <c r="O73" s="90">
        <f t="shared" si="20"/>
        <v>0</v>
      </c>
      <c r="P73" s="91"/>
      <c r="Q73" s="91"/>
      <c r="R73" s="92">
        <f t="shared" si="21"/>
        <v>0</v>
      </c>
      <c r="S73" s="93">
        <f t="shared" si="22"/>
        <v>0</v>
      </c>
      <c r="T73" s="94"/>
      <c r="U73" s="95">
        <f>IFERROR(__xludf.DUMMYFUNCTION("""COMPUTED_VALUE"""),0.0)</f>
        <v>0</v>
      </c>
    </row>
    <row r="74" ht="37.5" customHeight="1">
      <c r="B74" s="97">
        <v>16.0</v>
      </c>
      <c r="C74" s="99"/>
      <c r="D74" s="100"/>
      <c r="E74" s="101"/>
      <c r="F74" s="86">
        <f>IFERROR(__xludf.DUMMYFUNCTION("""COMPUTED_VALUE"""),0.0)</f>
        <v>0</v>
      </c>
      <c r="G74" s="45"/>
      <c r="H74" s="87">
        <f t="shared" si="16"/>
        <v>0</v>
      </c>
      <c r="I74" s="87">
        <f t="shared" si="17"/>
        <v>0</v>
      </c>
      <c r="J74" s="88" t="str">
        <f t="shared" si="18"/>
        <v/>
      </c>
      <c r="K74" s="88"/>
      <c r="L74" s="89">
        <f t="shared" si="19"/>
        <v>0</v>
      </c>
      <c r="M74" s="88"/>
      <c r="N74" s="88"/>
      <c r="O74" s="90">
        <f t="shared" si="20"/>
        <v>0</v>
      </c>
      <c r="P74" s="91"/>
      <c r="Q74" s="91"/>
      <c r="R74" s="92">
        <f t="shared" si="21"/>
        <v>0</v>
      </c>
      <c r="S74" s="93">
        <f t="shared" si="22"/>
        <v>0</v>
      </c>
      <c r="T74" s="94"/>
      <c r="U74" s="95">
        <f>IFERROR(__xludf.DUMMYFUNCTION("""COMPUTED_VALUE"""),0.0)</f>
        <v>0</v>
      </c>
    </row>
    <row r="75" ht="37.5" customHeight="1">
      <c r="B75" s="97">
        <v>17.0</v>
      </c>
      <c r="C75" s="99"/>
      <c r="D75" s="100"/>
      <c r="E75" s="101"/>
      <c r="F75" s="86">
        <f>IFERROR(__xludf.DUMMYFUNCTION("""COMPUTED_VALUE"""),0.0)</f>
        <v>0</v>
      </c>
      <c r="G75" s="45"/>
      <c r="H75" s="87">
        <f t="shared" si="16"/>
        <v>0</v>
      </c>
      <c r="I75" s="87">
        <f t="shared" si="17"/>
        <v>0</v>
      </c>
      <c r="J75" s="88" t="str">
        <f t="shared" si="18"/>
        <v/>
      </c>
      <c r="K75" s="88"/>
      <c r="L75" s="89">
        <f t="shared" si="19"/>
        <v>0</v>
      </c>
      <c r="M75" s="88"/>
      <c r="N75" s="88"/>
      <c r="O75" s="90">
        <f t="shared" si="20"/>
        <v>0</v>
      </c>
      <c r="P75" s="91"/>
      <c r="Q75" s="91"/>
      <c r="R75" s="92">
        <f t="shared" si="21"/>
        <v>0</v>
      </c>
      <c r="S75" s="93">
        <f t="shared" si="22"/>
        <v>0</v>
      </c>
      <c r="T75" s="94"/>
      <c r="U75" s="95">
        <f>IFERROR(__xludf.DUMMYFUNCTION("""COMPUTED_VALUE"""),0.0)</f>
        <v>0</v>
      </c>
    </row>
    <row r="76" ht="37.5" customHeight="1">
      <c r="B76" s="97">
        <v>18.0</v>
      </c>
      <c r="C76" s="99"/>
      <c r="D76" s="101"/>
      <c r="E76" s="101"/>
      <c r="F76" s="102">
        <f>IFERROR(__xludf.DUMMYFUNCTION("""COMPUTED_VALUE"""),0.0)</f>
        <v>0</v>
      </c>
      <c r="G76" s="53"/>
      <c r="H76" s="87">
        <f t="shared" si="16"/>
        <v>0</v>
      </c>
      <c r="I76" s="87">
        <f t="shared" si="17"/>
        <v>0</v>
      </c>
      <c r="J76" s="88" t="str">
        <f t="shared" si="18"/>
        <v/>
      </c>
      <c r="K76" s="88"/>
      <c r="L76" s="89">
        <f t="shared" si="19"/>
        <v>0</v>
      </c>
      <c r="M76" s="88"/>
      <c r="N76" s="88"/>
      <c r="O76" s="90">
        <f t="shared" si="20"/>
        <v>0</v>
      </c>
      <c r="P76" s="91"/>
      <c r="Q76" s="91"/>
      <c r="R76" s="92">
        <f t="shared" si="21"/>
        <v>0</v>
      </c>
      <c r="S76" s="93">
        <f t="shared" si="22"/>
        <v>0</v>
      </c>
      <c r="T76" s="101"/>
      <c r="U76" s="95">
        <f>IFERROR(__xludf.DUMMYFUNCTION("""COMPUTED_VALUE"""),0.0)</f>
        <v>0</v>
      </c>
    </row>
    <row r="77" ht="37.5" customHeight="1">
      <c r="B77" s="97">
        <v>19.0</v>
      </c>
      <c r="C77" s="99"/>
      <c r="D77" s="101"/>
      <c r="E77" s="101"/>
      <c r="F77" s="102">
        <f>IFERROR(__xludf.DUMMYFUNCTION("""COMPUTED_VALUE"""),0.0)</f>
        <v>0</v>
      </c>
      <c r="G77" s="53"/>
      <c r="H77" s="87">
        <f t="shared" si="16"/>
        <v>0</v>
      </c>
      <c r="I77" s="87">
        <f t="shared" si="17"/>
        <v>0</v>
      </c>
      <c r="J77" s="88" t="str">
        <f t="shared" si="18"/>
        <v/>
      </c>
      <c r="K77" s="88"/>
      <c r="L77" s="89">
        <f t="shared" si="19"/>
        <v>0</v>
      </c>
      <c r="M77" s="88"/>
      <c r="N77" s="88"/>
      <c r="O77" s="90">
        <f t="shared" si="20"/>
        <v>0</v>
      </c>
      <c r="P77" s="91"/>
      <c r="Q77" s="91"/>
      <c r="R77" s="92">
        <f t="shared" si="21"/>
        <v>0</v>
      </c>
      <c r="S77" s="93">
        <f t="shared" si="22"/>
        <v>0</v>
      </c>
      <c r="T77" s="101"/>
      <c r="U77" s="95">
        <f>IFERROR(__xludf.DUMMYFUNCTION("""COMPUTED_VALUE"""),0.0)</f>
        <v>0</v>
      </c>
    </row>
    <row r="78" ht="37.5" customHeight="1">
      <c r="B78" s="97">
        <v>20.0</v>
      </c>
      <c r="C78" s="99"/>
      <c r="D78" s="101"/>
      <c r="E78" s="101"/>
      <c r="F78" s="102"/>
      <c r="G78" s="53"/>
      <c r="H78" s="87">
        <f t="shared" si="16"/>
        <v>0</v>
      </c>
      <c r="I78" s="87">
        <f t="shared" si="17"/>
        <v>0</v>
      </c>
      <c r="J78" s="88" t="str">
        <f t="shared" si="18"/>
        <v/>
      </c>
      <c r="K78" s="88"/>
      <c r="L78" s="89">
        <f t="shared" si="19"/>
        <v>0</v>
      </c>
      <c r="M78" s="88"/>
      <c r="N78" s="88"/>
      <c r="O78" s="90">
        <f t="shared" si="20"/>
        <v>0</v>
      </c>
      <c r="P78" s="91"/>
      <c r="Q78" s="91"/>
      <c r="R78" s="92">
        <f t="shared" si="21"/>
        <v>0</v>
      </c>
      <c r="S78" s="93">
        <f t="shared" si="22"/>
        <v>0</v>
      </c>
      <c r="T78" s="101"/>
      <c r="U78" s="95">
        <f>IFERROR(__xludf.DUMMYFUNCTION("""COMPUTED_VALUE"""),0.0)</f>
        <v>0</v>
      </c>
    </row>
    <row r="79" ht="37.5" customHeight="1">
      <c r="B79" s="97">
        <v>21.0</v>
      </c>
      <c r="C79" s="99"/>
      <c r="D79" s="101"/>
      <c r="E79" s="101"/>
      <c r="F79" s="102"/>
      <c r="G79" s="53"/>
      <c r="H79" s="87">
        <f t="shared" si="16"/>
        <v>0</v>
      </c>
      <c r="I79" s="87">
        <f t="shared" si="17"/>
        <v>0</v>
      </c>
      <c r="J79" s="88" t="str">
        <f t="shared" si="18"/>
        <v/>
      </c>
      <c r="K79" s="88"/>
      <c r="L79" s="89">
        <f t="shared" si="19"/>
        <v>0</v>
      </c>
      <c r="M79" s="88"/>
      <c r="N79" s="88"/>
      <c r="O79" s="90">
        <f t="shared" si="20"/>
        <v>0</v>
      </c>
      <c r="P79" s="91"/>
      <c r="Q79" s="91"/>
      <c r="R79" s="92">
        <f t="shared" si="21"/>
        <v>0</v>
      </c>
      <c r="S79" s="93">
        <f t="shared" si="22"/>
        <v>0</v>
      </c>
      <c r="T79" s="101"/>
      <c r="U79" s="95"/>
    </row>
    <row r="80" ht="37.5" customHeight="1">
      <c r="B80" s="97">
        <v>22.0</v>
      </c>
      <c r="C80" s="99"/>
      <c r="D80" s="101"/>
      <c r="E80" s="101"/>
      <c r="F80" s="102"/>
      <c r="G80" s="53"/>
      <c r="H80" s="87">
        <f t="shared" si="16"/>
        <v>0</v>
      </c>
      <c r="I80" s="87">
        <f t="shared" si="17"/>
        <v>0</v>
      </c>
      <c r="J80" s="88" t="str">
        <f t="shared" si="18"/>
        <v/>
      </c>
      <c r="K80" s="88"/>
      <c r="L80" s="89">
        <f t="shared" si="19"/>
        <v>0</v>
      </c>
      <c r="M80" s="88"/>
      <c r="N80" s="88"/>
      <c r="O80" s="90">
        <f t="shared" si="20"/>
        <v>0</v>
      </c>
      <c r="P80" s="91"/>
      <c r="Q80" s="91"/>
      <c r="R80" s="92">
        <f t="shared" si="21"/>
        <v>0</v>
      </c>
      <c r="S80" s="93">
        <f t="shared" si="22"/>
        <v>0</v>
      </c>
      <c r="T80" s="101"/>
      <c r="U80" s="95"/>
    </row>
    <row r="81" ht="37.5" customHeight="1">
      <c r="B81" s="103"/>
      <c r="F81" s="104" t="s">
        <v>21</v>
      </c>
      <c r="S81" s="105">
        <f>SUM(S59:S80)</f>
        <v>2355000</v>
      </c>
      <c r="T81" s="106"/>
      <c r="U81" s="107"/>
    </row>
    <row r="82" ht="37.5" customHeight="1"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10"/>
    </row>
    <row r="83" ht="37.5" customHeight="1">
      <c r="B83" s="82" t="str">
        <f>IFERROR(__xludf.DUMMYFUNCTION("IMPORTRANGE(""https://docs.google.com/spreadsheets/d/17TnzcKnlaqlAyM_3lnNpgK5CAOPbscCCRVH50X8UulY/edit?usp=sharing"",""MARET!B72"")"),"TANGGAL : 23-28 MARET 2026")</f>
        <v>TANGGAL : 23-28 MARET 2026</v>
      </c>
      <c r="F83" s="83"/>
      <c r="G83" s="83"/>
      <c r="H83" s="83"/>
      <c r="I83" s="83"/>
      <c r="J83" s="83"/>
      <c r="K83" s="83"/>
      <c r="L83" s="84">
        <v>15000.0</v>
      </c>
      <c r="M83" s="83"/>
      <c r="N83" s="83"/>
      <c r="O83" s="83"/>
      <c r="P83" s="83"/>
      <c r="Q83" s="83"/>
      <c r="R83" s="83"/>
      <c r="S83" s="83"/>
      <c r="T83" s="83"/>
      <c r="U83" s="85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IFERROR(__xludf.DUMMYFUNCTION("IMPORTRANGE(""https://docs.google.com/spreadsheets/d/17TnzcKnlaqlAyM_3lnNpgK5CAOPbscCCRVH50X8UulY/edit?usp=sharing"",""MARET!B73:D92"")"),"EPUL")</f>
        <v>EPUL</v>
      </c>
      <c r="D84" s="27" t="str">
        <f>IFERROR(__xludf.DUMMYFUNCTION("""COMPUTED_VALUE"""),"KEPALA")</f>
        <v>KEPALA</v>
      </c>
      <c r="E84" s="28" t="str">
        <f>IFERROR(__xludf.DUMMYFUNCTION("""COMPUTED_VALUE"""),"SHIFT 1")</f>
        <v>SHIFT 1</v>
      </c>
      <c r="F84" s="86">
        <f>IFERROR(__xludf.DUMMYFUNCTION("IMPORTRANGE(""https://docs.google.com/spreadsheets/d/17TnzcKnlaqlAyM_3lnNpgK5CAOPbscCCRVH50X8UulY/edit?usp=sharing"",""MARET!K73:K91"")"),4.0)</f>
        <v>4</v>
      </c>
      <c r="G84" s="30">
        <v>70000.0</v>
      </c>
      <c r="H84" s="87">
        <f t="shared" ref="H84:H105" si="23">F84*G84</f>
        <v>280000</v>
      </c>
      <c r="I84" s="87">
        <f t="shared" ref="I84:I105" si="24">F84*10000</f>
        <v>40000</v>
      </c>
      <c r="J84" s="88" t="str">
        <f t="shared" ref="J84:J105" si="25">IF(E84="SHIFT 2",I84,"")</f>
        <v/>
      </c>
      <c r="K84" s="88"/>
      <c r="L84" s="89">
        <f t="shared" ref="L84:L105" si="26">U84*$L$83</f>
        <v>0</v>
      </c>
      <c r="M84" s="88"/>
      <c r="N84" s="88"/>
      <c r="O84" s="90">
        <f t="shared" ref="O84:O105" si="27">SUM(H84:N84)</f>
        <v>320000</v>
      </c>
      <c r="P84" s="36"/>
      <c r="Q84" s="36"/>
      <c r="R84" s="92">
        <f t="shared" ref="R84:R105" si="28">SUM(P84:Q84)</f>
        <v>0</v>
      </c>
      <c r="S84" s="93">
        <f t="shared" ref="S84:S105" si="29">O84-R84</f>
        <v>320000</v>
      </c>
      <c r="T84" s="52" t="str">
        <f>IFERROR(__xludf.DUMMYFUNCTION("IMPORTRANGE(""https://docs.google.com/spreadsheets/d/17TnzcKnlaqlAyM_3lnNpgK5CAOPbscCCRVH50X8UulY/edit?usp=sharing"",""MARET!L73:L92"")"),"")</f>
        <v/>
      </c>
      <c r="U84" s="95">
        <f>IFERROR(__xludf.DUMMYFUNCTION("IMPORTRANGE(""https://docs.google.com/spreadsheets/d/17TnzcKnlaqlAyM_3lnNpgK5CAOPbscCCRVH50X8UulY/edit?usp=sharing"",""MARET!U73:U92"")"),0.0)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 t="str">
        <f>IFERROR(__xludf.DUMMYFUNCTION("""COMPUTED_VALUE"""),"SHIFT 1")</f>
        <v>SHIFT 1</v>
      </c>
      <c r="F85" s="86">
        <f>IFERROR(__xludf.DUMMYFUNCTION("""COMPUTED_VALUE"""),4.0)</f>
        <v>4</v>
      </c>
      <c r="G85" s="30">
        <v>70000.0</v>
      </c>
      <c r="H85" s="87">
        <f t="shared" si="23"/>
        <v>280000</v>
      </c>
      <c r="I85" s="87">
        <f t="shared" si="24"/>
        <v>40000</v>
      </c>
      <c r="J85" s="88" t="str">
        <f t="shared" si="25"/>
        <v/>
      </c>
      <c r="K85" s="96"/>
      <c r="L85" s="89">
        <f t="shared" si="26"/>
        <v>0</v>
      </c>
      <c r="M85" s="96"/>
      <c r="N85" s="96"/>
      <c r="O85" s="90">
        <f t="shared" si="27"/>
        <v>320000</v>
      </c>
      <c r="P85" s="36"/>
      <c r="Q85" s="36"/>
      <c r="R85" s="92">
        <f t="shared" si="28"/>
        <v>0</v>
      </c>
      <c r="S85" s="93">
        <f t="shared" si="29"/>
        <v>320000</v>
      </c>
      <c r="T85" s="52"/>
      <c r="U85" s="95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 t="str">
        <f>IFERROR(__xludf.DUMMYFUNCTION("""COMPUTED_VALUE"""),"ANDRI")</f>
        <v>ANDRI</v>
      </c>
      <c r="D86" s="27" t="str">
        <f>IFERROR(__xludf.DUMMYFUNCTION("""COMPUTED_VALUE"""),"DESIGN BORDIR")</f>
        <v>DESIGN BORDIR</v>
      </c>
      <c r="E86" s="28" t="str">
        <f>IFERROR(__xludf.DUMMYFUNCTION("""COMPUTED_VALUE"""),"SHIFT 1")</f>
        <v>SHIFT 1</v>
      </c>
      <c r="F86" s="86">
        <f>IFERROR(__xludf.DUMMYFUNCTION("""COMPUTED_VALUE"""),0.0)</f>
        <v>0</v>
      </c>
      <c r="G86" s="30">
        <v>70000.0</v>
      </c>
      <c r="H86" s="87">
        <f t="shared" si="23"/>
        <v>0</v>
      </c>
      <c r="I86" s="87">
        <f t="shared" si="24"/>
        <v>0</v>
      </c>
      <c r="J86" s="88" t="str">
        <f t="shared" si="25"/>
        <v/>
      </c>
      <c r="K86" s="96"/>
      <c r="L86" s="89">
        <f t="shared" si="26"/>
        <v>0</v>
      </c>
      <c r="M86" s="96"/>
      <c r="N86" s="96"/>
      <c r="O86" s="90">
        <f t="shared" si="27"/>
        <v>0</v>
      </c>
      <c r="P86" s="36"/>
      <c r="Q86" s="36"/>
      <c r="R86" s="92">
        <f t="shared" si="28"/>
        <v>0</v>
      </c>
      <c r="S86" s="93">
        <f t="shared" si="29"/>
        <v>0</v>
      </c>
      <c r="T86" s="52"/>
      <c r="U86" s="95">
        <f>IFERROR(__xludf.DUMMYFUNCTION("""COMPUTED_VALUE"""),0.0)</f>
        <v>0</v>
      </c>
      <c r="V86" s="24"/>
      <c r="W86" s="24"/>
    </row>
    <row r="87" ht="37.5" customHeight="1">
      <c r="B87" s="97">
        <v>4.0</v>
      </c>
      <c r="C87" s="26" t="str">
        <f>IFERROR(__xludf.DUMMYFUNCTION("""COMPUTED_VALUE"""),"ADIT")</f>
        <v>ADIT</v>
      </c>
      <c r="D87" s="27" t="str">
        <f>IFERROR(__xludf.DUMMYFUNCTION("""COMPUTED_VALUE"""),"CREATOR")</f>
        <v>CREATOR</v>
      </c>
      <c r="E87" s="28" t="str">
        <f>IFERROR(__xludf.DUMMYFUNCTION("""COMPUTED_VALUE"""),"SHIFT 1")</f>
        <v>SHIFT 1</v>
      </c>
      <c r="F87" s="86">
        <f>IFERROR(__xludf.DUMMYFUNCTION("""COMPUTED_VALUE"""),4.0)</f>
        <v>4</v>
      </c>
      <c r="G87" s="30">
        <v>50000.0</v>
      </c>
      <c r="H87" s="87">
        <f t="shared" si="23"/>
        <v>200000</v>
      </c>
      <c r="I87" s="87">
        <f t="shared" si="24"/>
        <v>40000</v>
      </c>
      <c r="J87" s="88" t="str">
        <f t="shared" si="25"/>
        <v/>
      </c>
      <c r="K87" s="88"/>
      <c r="L87" s="89">
        <f t="shared" si="26"/>
        <v>0</v>
      </c>
      <c r="M87" s="88"/>
      <c r="N87" s="88"/>
      <c r="O87" s="90">
        <f t="shared" si="27"/>
        <v>240000</v>
      </c>
      <c r="P87" s="35"/>
      <c r="Q87" s="36"/>
      <c r="R87" s="92">
        <f t="shared" si="28"/>
        <v>0</v>
      </c>
      <c r="S87" s="93">
        <f t="shared" si="29"/>
        <v>240000</v>
      </c>
      <c r="T87" s="52"/>
      <c r="U87" s="95">
        <f>IFERROR(__xludf.DUMMYFUNCTION("""COMPUTED_VALUE"""),0.0)</f>
        <v>0</v>
      </c>
    </row>
    <row r="88" ht="37.5" customHeight="1">
      <c r="B88" s="97">
        <v>5.0</v>
      </c>
      <c r="C88" s="26" t="str">
        <f>IFERROR(__xludf.DUMMYFUNCTION("""COMPUTED_VALUE"""),"WILI")</f>
        <v>WILI</v>
      </c>
      <c r="D88" s="27" t="str">
        <f>IFERROR(__xludf.DUMMYFUNCTION("""COMPUTED_VALUE"""),"OP MESIN")</f>
        <v>OP MESIN</v>
      </c>
      <c r="E88" s="28" t="str">
        <f>IFERROR(__xludf.DUMMYFUNCTION("""COMPUTED_VALUE"""),"SHIFT 1")</f>
        <v>SHIFT 1</v>
      </c>
      <c r="F88" s="86">
        <f>IFERROR(__xludf.DUMMYFUNCTION("""COMPUTED_VALUE"""),4.0)</f>
        <v>4</v>
      </c>
      <c r="G88" s="30">
        <v>70000.0</v>
      </c>
      <c r="H88" s="87">
        <f t="shared" si="23"/>
        <v>280000</v>
      </c>
      <c r="I88" s="87">
        <f t="shared" si="24"/>
        <v>40000</v>
      </c>
      <c r="J88" s="88" t="str">
        <f t="shared" si="25"/>
        <v/>
      </c>
      <c r="K88" s="88"/>
      <c r="L88" s="89">
        <f t="shared" si="26"/>
        <v>105000</v>
      </c>
      <c r="M88" s="88"/>
      <c r="N88" s="88"/>
      <c r="O88" s="90">
        <f t="shared" si="27"/>
        <v>425000</v>
      </c>
      <c r="P88" s="36"/>
      <c r="Q88" s="36"/>
      <c r="R88" s="92">
        <f t="shared" si="28"/>
        <v>0</v>
      </c>
      <c r="S88" s="93">
        <f t="shared" si="29"/>
        <v>425000</v>
      </c>
      <c r="T88" s="52"/>
      <c r="U88" s="95">
        <f>IFERROR(__xludf.DUMMYFUNCTION("""COMPUTED_VALUE"""),7.0)</f>
        <v>7</v>
      </c>
    </row>
    <row r="89" ht="37.5" customHeight="1">
      <c r="B89" s="97">
        <v>6.0</v>
      </c>
      <c r="C89" s="26" t="str">
        <f>IFERROR(__xludf.DUMMYFUNCTION("""COMPUTED_VALUE"""),"OGA")</f>
        <v>OGA</v>
      </c>
      <c r="D89" s="27" t="str">
        <f>IFERROR(__xludf.DUMMYFUNCTION("""COMPUTED_VALUE"""),"OP MESIN")</f>
        <v>OP MESIN</v>
      </c>
      <c r="E89" s="28" t="str">
        <f>IFERROR(__xludf.DUMMYFUNCTION("""COMPUTED_VALUE"""),"SHIFT 1")</f>
        <v>SHIFT 1</v>
      </c>
      <c r="F89" s="86">
        <f>IFERROR(__xludf.DUMMYFUNCTION("""COMPUTED_VALUE"""),4.0)</f>
        <v>4</v>
      </c>
      <c r="G89" s="30">
        <v>70000.0</v>
      </c>
      <c r="H89" s="87">
        <f t="shared" si="23"/>
        <v>280000</v>
      </c>
      <c r="I89" s="87">
        <f t="shared" si="24"/>
        <v>40000</v>
      </c>
      <c r="J89" s="88" t="str">
        <f t="shared" si="25"/>
        <v/>
      </c>
      <c r="K89" s="88"/>
      <c r="L89" s="89">
        <f t="shared" si="26"/>
        <v>105000</v>
      </c>
      <c r="M89" s="88"/>
      <c r="N89" s="88"/>
      <c r="O89" s="90">
        <f t="shared" si="27"/>
        <v>425000</v>
      </c>
      <c r="P89" s="36"/>
      <c r="Q89" s="36"/>
      <c r="R89" s="92">
        <f t="shared" si="28"/>
        <v>0</v>
      </c>
      <c r="S89" s="93">
        <f t="shared" si="29"/>
        <v>425000</v>
      </c>
      <c r="T89" s="52"/>
      <c r="U89" s="95">
        <f>IFERROR(__xludf.DUMMYFUNCTION("""COMPUTED_VALUE"""),7.0)</f>
        <v>7</v>
      </c>
    </row>
    <row r="90" ht="37.5" customHeight="1">
      <c r="B90" s="97">
        <v>7.0</v>
      </c>
      <c r="C90" s="26" t="str">
        <f>IFERROR(__xludf.DUMMYFUNCTION("""COMPUTED_VALUE"""),"ASEP")</f>
        <v>ASEP</v>
      </c>
      <c r="D90" s="27" t="str">
        <f>IFERROR(__xludf.DUMMYFUNCTION("""COMPUTED_VALUE"""),"OP MESIN")</f>
        <v>OP MESIN</v>
      </c>
      <c r="E90" s="28" t="str">
        <f>IFERROR(__xludf.DUMMYFUNCTION("""COMPUTED_VALUE"""),"SHIFT 1")</f>
        <v>SHIFT 1</v>
      </c>
      <c r="F90" s="86">
        <f>IFERROR(__xludf.DUMMYFUNCTION("""COMPUTED_VALUE"""),4.0)</f>
        <v>4</v>
      </c>
      <c r="G90" s="30">
        <v>50000.0</v>
      </c>
      <c r="H90" s="87">
        <f t="shared" si="23"/>
        <v>200000</v>
      </c>
      <c r="I90" s="87">
        <f t="shared" si="24"/>
        <v>40000</v>
      </c>
      <c r="J90" s="88" t="str">
        <f t="shared" si="25"/>
        <v/>
      </c>
      <c r="K90" s="88"/>
      <c r="L90" s="89">
        <f t="shared" si="26"/>
        <v>0</v>
      </c>
      <c r="M90" s="88"/>
      <c r="N90" s="88"/>
      <c r="O90" s="90">
        <f t="shared" si="27"/>
        <v>240000</v>
      </c>
      <c r="P90" s="36"/>
      <c r="Q90" s="36"/>
      <c r="R90" s="92">
        <f t="shared" si="28"/>
        <v>0</v>
      </c>
      <c r="S90" s="93">
        <f t="shared" si="29"/>
        <v>240000</v>
      </c>
      <c r="T90" s="52"/>
      <c r="U90" s="95">
        <f>IFERROR(__xludf.DUMMYFUNCTION("""COMPUTED_VALUE"""),0.0)</f>
        <v>0</v>
      </c>
    </row>
    <row r="91" ht="37.5" customHeight="1">
      <c r="B91" s="97">
        <v>8.0</v>
      </c>
      <c r="C91" s="26" t="str">
        <f>IFERROR(__xludf.DUMMYFUNCTION("""COMPUTED_VALUE"""),"HIFNI")</f>
        <v>HIFNI</v>
      </c>
      <c r="D91" s="27" t="str">
        <f>IFERROR(__xludf.DUMMYFUNCTION("""COMPUTED_VALUE"""),"OP MESIN")</f>
        <v>OP MESIN</v>
      </c>
      <c r="E91" s="28" t="str">
        <f>IFERROR(__xludf.DUMMYFUNCTION("""COMPUTED_VALUE"""),"SHIFT 1")</f>
        <v>SHIFT 1</v>
      </c>
      <c r="F91" s="86">
        <f>IFERROR(__xludf.DUMMYFUNCTION("""COMPUTED_VALUE"""),4.0)</f>
        <v>4</v>
      </c>
      <c r="G91" s="30">
        <v>50000.0</v>
      </c>
      <c r="H91" s="87">
        <f t="shared" si="23"/>
        <v>200000</v>
      </c>
      <c r="I91" s="87">
        <f t="shared" si="24"/>
        <v>40000</v>
      </c>
      <c r="J91" s="88" t="str">
        <f t="shared" si="25"/>
        <v/>
      </c>
      <c r="K91" s="88"/>
      <c r="L91" s="89">
        <f t="shared" si="26"/>
        <v>0</v>
      </c>
      <c r="M91" s="88"/>
      <c r="N91" s="88"/>
      <c r="O91" s="90">
        <f t="shared" si="27"/>
        <v>240000</v>
      </c>
      <c r="P91" s="36"/>
      <c r="Q91" s="36"/>
      <c r="R91" s="92">
        <f t="shared" si="28"/>
        <v>0</v>
      </c>
      <c r="S91" s="93">
        <f t="shared" si="29"/>
        <v>240000</v>
      </c>
      <c r="T91" s="52"/>
      <c r="U91" s="95">
        <f>IFERROR(__xludf.DUMMYFUNCTION("""COMPUTED_VALUE"""),0.0)</f>
        <v>0</v>
      </c>
    </row>
    <row r="92" ht="37.5" customHeight="1">
      <c r="B92" s="97">
        <v>9.0</v>
      </c>
      <c r="C92" s="26"/>
      <c r="D92" s="27"/>
      <c r="E92" s="28"/>
      <c r="F92" s="86">
        <f>IFERROR(__xludf.DUMMYFUNCTION("""COMPUTED_VALUE"""),0.0)</f>
        <v>0</v>
      </c>
      <c r="G92" s="30"/>
      <c r="H92" s="87">
        <f t="shared" si="23"/>
        <v>0</v>
      </c>
      <c r="I92" s="87">
        <f t="shared" si="24"/>
        <v>0</v>
      </c>
      <c r="J92" s="88" t="str">
        <f t="shared" si="25"/>
        <v/>
      </c>
      <c r="K92" s="88"/>
      <c r="L92" s="89">
        <f t="shared" si="26"/>
        <v>0</v>
      </c>
      <c r="M92" s="88"/>
      <c r="N92" s="88"/>
      <c r="O92" s="90">
        <f t="shared" si="27"/>
        <v>0</v>
      </c>
      <c r="P92" s="36"/>
      <c r="Q92" s="36"/>
      <c r="R92" s="92">
        <f t="shared" si="28"/>
        <v>0</v>
      </c>
      <c r="S92" s="93">
        <f t="shared" si="29"/>
        <v>0</v>
      </c>
      <c r="T92" s="52"/>
      <c r="U92" s="95">
        <f>IFERROR(__xludf.DUMMYFUNCTION("""COMPUTED_VALUE"""),0.0)</f>
        <v>0</v>
      </c>
    </row>
    <row r="93" ht="37.5" customHeight="1">
      <c r="B93" s="97">
        <v>10.0</v>
      </c>
      <c r="C93" s="99"/>
      <c r="D93" s="100"/>
      <c r="E93" s="101"/>
      <c r="F93" s="86">
        <f>IFERROR(__xludf.DUMMYFUNCTION("""COMPUTED_VALUE"""),0.0)</f>
        <v>0</v>
      </c>
      <c r="G93" s="45"/>
      <c r="H93" s="87">
        <f t="shared" si="23"/>
        <v>0</v>
      </c>
      <c r="I93" s="87">
        <f t="shared" si="24"/>
        <v>0</v>
      </c>
      <c r="J93" s="88" t="str">
        <f t="shared" si="25"/>
        <v/>
      </c>
      <c r="K93" s="88"/>
      <c r="L93" s="89">
        <f t="shared" si="26"/>
        <v>0</v>
      </c>
      <c r="M93" s="88"/>
      <c r="N93" s="88"/>
      <c r="O93" s="90">
        <f t="shared" si="27"/>
        <v>0</v>
      </c>
      <c r="P93" s="36"/>
      <c r="Q93" s="36"/>
      <c r="R93" s="92">
        <f t="shared" si="28"/>
        <v>0</v>
      </c>
      <c r="S93" s="93">
        <f t="shared" si="29"/>
        <v>0</v>
      </c>
      <c r="T93" s="52"/>
      <c r="U93" s="95">
        <f>IFERROR(__xludf.DUMMYFUNCTION("""COMPUTED_VALUE"""),0.0)</f>
        <v>0</v>
      </c>
    </row>
    <row r="94" ht="37.5" customHeight="1">
      <c r="B94" s="97">
        <v>11.0</v>
      </c>
      <c r="C94" s="99"/>
      <c r="D94" s="100"/>
      <c r="E94" s="101"/>
      <c r="F94" s="86">
        <f>IFERROR(__xludf.DUMMYFUNCTION("""COMPUTED_VALUE"""),0.0)</f>
        <v>0</v>
      </c>
      <c r="G94" s="45"/>
      <c r="H94" s="87">
        <f t="shared" si="23"/>
        <v>0</v>
      </c>
      <c r="I94" s="87">
        <f t="shared" si="24"/>
        <v>0</v>
      </c>
      <c r="J94" s="88" t="str">
        <f t="shared" si="25"/>
        <v/>
      </c>
      <c r="K94" s="88"/>
      <c r="L94" s="89">
        <f t="shared" si="26"/>
        <v>0</v>
      </c>
      <c r="M94" s="88"/>
      <c r="N94" s="88"/>
      <c r="O94" s="90">
        <f t="shared" si="27"/>
        <v>0</v>
      </c>
      <c r="P94" s="91"/>
      <c r="Q94" s="91"/>
      <c r="R94" s="92">
        <f t="shared" si="28"/>
        <v>0</v>
      </c>
      <c r="S94" s="93">
        <f t="shared" si="29"/>
        <v>0</v>
      </c>
      <c r="T94" s="52"/>
      <c r="U94" s="95">
        <f>IFERROR(__xludf.DUMMYFUNCTION("""COMPUTED_VALUE"""),0.0)</f>
        <v>0</v>
      </c>
    </row>
    <row r="95" ht="37.5" customHeight="1">
      <c r="B95" s="97">
        <v>12.0</v>
      </c>
      <c r="C95" s="99"/>
      <c r="D95" s="100"/>
      <c r="E95" s="101"/>
      <c r="F95" s="86">
        <f>IFERROR(__xludf.DUMMYFUNCTION("""COMPUTED_VALUE"""),0.0)</f>
        <v>0</v>
      </c>
      <c r="G95" s="45"/>
      <c r="H95" s="87">
        <f t="shared" si="23"/>
        <v>0</v>
      </c>
      <c r="I95" s="87">
        <f t="shared" si="24"/>
        <v>0</v>
      </c>
      <c r="J95" s="88" t="str">
        <f t="shared" si="25"/>
        <v/>
      </c>
      <c r="K95" s="88"/>
      <c r="L95" s="89">
        <f t="shared" si="26"/>
        <v>0</v>
      </c>
      <c r="M95" s="88"/>
      <c r="N95" s="88"/>
      <c r="O95" s="90">
        <f t="shared" si="27"/>
        <v>0</v>
      </c>
      <c r="P95" s="91"/>
      <c r="Q95" s="91"/>
      <c r="R95" s="92">
        <f t="shared" si="28"/>
        <v>0</v>
      </c>
      <c r="S95" s="93">
        <f t="shared" si="29"/>
        <v>0</v>
      </c>
      <c r="T95" s="52"/>
      <c r="U95" s="95">
        <f>IFERROR(__xludf.DUMMYFUNCTION("""COMPUTED_VALUE"""),0.0)</f>
        <v>0</v>
      </c>
    </row>
    <row r="96" ht="37.5" customHeight="1">
      <c r="B96" s="97">
        <v>13.0</v>
      </c>
      <c r="C96" s="99"/>
      <c r="D96" s="100"/>
      <c r="E96" s="101"/>
      <c r="F96" s="86">
        <f>IFERROR(__xludf.DUMMYFUNCTION("""COMPUTED_VALUE"""),0.0)</f>
        <v>0</v>
      </c>
      <c r="G96" s="45"/>
      <c r="H96" s="87">
        <f t="shared" si="23"/>
        <v>0</v>
      </c>
      <c r="I96" s="87">
        <f t="shared" si="24"/>
        <v>0</v>
      </c>
      <c r="J96" s="88" t="str">
        <f t="shared" si="25"/>
        <v/>
      </c>
      <c r="K96" s="88"/>
      <c r="L96" s="89">
        <f t="shared" si="26"/>
        <v>0</v>
      </c>
      <c r="M96" s="88"/>
      <c r="N96" s="88"/>
      <c r="O96" s="90">
        <f t="shared" si="27"/>
        <v>0</v>
      </c>
      <c r="P96" s="36"/>
      <c r="Q96" s="36"/>
      <c r="R96" s="92">
        <f t="shared" si="28"/>
        <v>0</v>
      </c>
      <c r="S96" s="93">
        <f t="shared" si="29"/>
        <v>0</v>
      </c>
      <c r="T96" s="52"/>
      <c r="U96" s="95">
        <f>IFERROR(__xludf.DUMMYFUNCTION("""COMPUTED_VALUE"""),0.0)</f>
        <v>0</v>
      </c>
    </row>
    <row r="97" ht="37.5" customHeight="1">
      <c r="B97" s="97">
        <v>14.0</v>
      </c>
      <c r="C97" s="99"/>
      <c r="D97" s="100"/>
      <c r="E97" s="101"/>
      <c r="F97" s="86">
        <f>IFERROR(__xludf.DUMMYFUNCTION("""COMPUTED_VALUE"""),0.0)</f>
        <v>0</v>
      </c>
      <c r="G97" s="45"/>
      <c r="H97" s="87">
        <f t="shared" si="23"/>
        <v>0</v>
      </c>
      <c r="I97" s="87">
        <f t="shared" si="24"/>
        <v>0</v>
      </c>
      <c r="J97" s="88" t="str">
        <f t="shared" si="25"/>
        <v/>
      </c>
      <c r="K97" s="88"/>
      <c r="L97" s="89">
        <f t="shared" si="26"/>
        <v>0</v>
      </c>
      <c r="M97" s="88"/>
      <c r="N97" s="88"/>
      <c r="O97" s="90">
        <f t="shared" si="27"/>
        <v>0</v>
      </c>
      <c r="P97" s="91"/>
      <c r="Q97" s="91"/>
      <c r="R97" s="92">
        <f t="shared" si="28"/>
        <v>0</v>
      </c>
      <c r="S97" s="93">
        <f t="shared" si="29"/>
        <v>0</v>
      </c>
      <c r="T97" s="52"/>
      <c r="U97" s="95">
        <f>IFERROR(__xludf.DUMMYFUNCTION("""COMPUTED_VALUE"""),0.0)</f>
        <v>0</v>
      </c>
    </row>
    <row r="98" ht="37.5" customHeight="1">
      <c r="B98" s="97">
        <v>15.0</v>
      </c>
      <c r="C98" s="99"/>
      <c r="D98" s="100"/>
      <c r="E98" s="101"/>
      <c r="F98" s="86">
        <f>IFERROR(__xludf.DUMMYFUNCTION("""COMPUTED_VALUE"""),0.0)</f>
        <v>0</v>
      </c>
      <c r="G98" s="45"/>
      <c r="H98" s="87">
        <f t="shared" si="23"/>
        <v>0</v>
      </c>
      <c r="I98" s="87">
        <f t="shared" si="24"/>
        <v>0</v>
      </c>
      <c r="J98" s="88" t="str">
        <f t="shared" si="25"/>
        <v/>
      </c>
      <c r="K98" s="88"/>
      <c r="L98" s="89">
        <f t="shared" si="26"/>
        <v>0</v>
      </c>
      <c r="M98" s="88"/>
      <c r="N98" s="88"/>
      <c r="O98" s="90">
        <f t="shared" si="27"/>
        <v>0</v>
      </c>
      <c r="P98" s="91"/>
      <c r="Q98" s="91"/>
      <c r="R98" s="92">
        <f t="shared" si="28"/>
        <v>0</v>
      </c>
      <c r="S98" s="93">
        <f t="shared" si="29"/>
        <v>0</v>
      </c>
      <c r="T98" s="52"/>
      <c r="U98" s="95">
        <f>IFERROR(__xludf.DUMMYFUNCTION("""COMPUTED_VALUE"""),0.0)</f>
        <v>0</v>
      </c>
    </row>
    <row r="99" ht="37.5" customHeight="1">
      <c r="B99" s="97">
        <v>16.0</v>
      </c>
      <c r="C99" s="99"/>
      <c r="D99" s="100"/>
      <c r="E99" s="101"/>
      <c r="F99" s="86">
        <f>IFERROR(__xludf.DUMMYFUNCTION("""COMPUTED_VALUE"""),0.0)</f>
        <v>0</v>
      </c>
      <c r="G99" s="45"/>
      <c r="H99" s="87">
        <f t="shared" si="23"/>
        <v>0</v>
      </c>
      <c r="I99" s="87">
        <f t="shared" si="24"/>
        <v>0</v>
      </c>
      <c r="J99" s="88" t="str">
        <f t="shared" si="25"/>
        <v/>
      </c>
      <c r="K99" s="88"/>
      <c r="L99" s="89">
        <f t="shared" si="26"/>
        <v>0</v>
      </c>
      <c r="M99" s="88"/>
      <c r="N99" s="88"/>
      <c r="O99" s="90">
        <f t="shared" si="27"/>
        <v>0</v>
      </c>
      <c r="P99" s="91"/>
      <c r="Q99" s="91"/>
      <c r="R99" s="92">
        <f t="shared" si="28"/>
        <v>0</v>
      </c>
      <c r="S99" s="93">
        <f t="shared" si="29"/>
        <v>0</v>
      </c>
      <c r="T99" s="52"/>
      <c r="U99" s="95">
        <f>IFERROR(__xludf.DUMMYFUNCTION("""COMPUTED_VALUE"""),0.0)</f>
        <v>0</v>
      </c>
    </row>
    <row r="100" ht="37.5" customHeight="1">
      <c r="B100" s="97">
        <v>17.0</v>
      </c>
      <c r="C100" s="99"/>
      <c r="D100" s="100"/>
      <c r="E100" s="101"/>
      <c r="F100" s="86">
        <f>IFERROR(__xludf.DUMMYFUNCTION("""COMPUTED_VALUE"""),0.0)</f>
        <v>0</v>
      </c>
      <c r="G100" s="45"/>
      <c r="H100" s="87">
        <f t="shared" si="23"/>
        <v>0</v>
      </c>
      <c r="I100" s="87">
        <f t="shared" si="24"/>
        <v>0</v>
      </c>
      <c r="J100" s="88" t="str">
        <f t="shared" si="25"/>
        <v/>
      </c>
      <c r="K100" s="88"/>
      <c r="L100" s="89">
        <f t="shared" si="26"/>
        <v>0</v>
      </c>
      <c r="M100" s="88"/>
      <c r="N100" s="88"/>
      <c r="O100" s="90">
        <f t="shared" si="27"/>
        <v>0</v>
      </c>
      <c r="P100" s="91"/>
      <c r="Q100" s="91"/>
      <c r="R100" s="92">
        <f t="shared" si="28"/>
        <v>0</v>
      </c>
      <c r="S100" s="93">
        <f t="shared" si="29"/>
        <v>0</v>
      </c>
      <c r="T100" s="52"/>
      <c r="U100" s="95">
        <f>IFERROR(__xludf.DUMMYFUNCTION("""COMPUTED_VALUE"""),0.0)</f>
        <v>0</v>
      </c>
    </row>
    <row r="101" ht="37.5" customHeight="1">
      <c r="B101" s="97">
        <v>18.0</v>
      </c>
      <c r="C101" s="99"/>
      <c r="D101" s="101"/>
      <c r="E101" s="101"/>
      <c r="F101" s="102">
        <f>IFERROR(__xludf.DUMMYFUNCTION("""COMPUTED_VALUE"""),0.0)</f>
        <v>0</v>
      </c>
      <c r="G101" s="53"/>
      <c r="H101" s="87">
        <f t="shared" si="23"/>
        <v>0</v>
      </c>
      <c r="I101" s="87">
        <f t="shared" si="24"/>
        <v>0</v>
      </c>
      <c r="J101" s="88" t="str">
        <f t="shared" si="25"/>
        <v/>
      </c>
      <c r="K101" s="88"/>
      <c r="L101" s="89">
        <f t="shared" si="26"/>
        <v>0</v>
      </c>
      <c r="M101" s="88"/>
      <c r="N101" s="88"/>
      <c r="O101" s="90">
        <f t="shared" si="27"/>
        <v>0</v>
      </c>
      <c r="P101" s="91"/>
      <c r="Q101" s="91"/>
      <c r="R101" s="92">
        <f t="shared" si="28"/>
        <v>0</v>
      </c>
      <c r="S101" s="93">
        <f t="shared" si="29"/>
        <v>0</v>
      </c>
      <c r="T101" s="42"/>
      <c r="U101" s="95">
        <f>IFERROR(__xludf.DUMMYFUNCTION("""COMPUTED_VALUE"""),0.0)</f>
        <v>0</v>
      </c>
    </row>
    <row r="102" ht="37.5" customHeight="1">
      <c r="B102" s="97">
        <v>19.0</v>
      </c>
      <c r="C102" s="99"/>
      <c r="D102" s="101"/>
      <c r="E102" s="101"/>
      <c r="F102" s="102">
        <f>IFERROR(__xludf.DUMMYFUNCTION("""COMPUTED_VALUE"""),0.0)</f>
        <v>0</v>
      </c>
      <c r="G102" s="53"/>
      <c r="H102" s="87">
        <f t="shared" si="23"/>
        <v>0</v>
      </c>
      <c r="I102" s="87">
        <f t="shared" si="24"/>
        <v>0</v>
      </c>
      <c r="J102" s="88" t="str">
        <f t="shared" si="25"/>
        <v/>
      </c>
      <c r="K102" s="88"/>
      <c r="L102" s="89">
        <f t="shared" si="26"/>
        <v>0</v>
      </c>
      <c r="M102" s="88"/>
      <c r="N102" s="88"/>
      <c r="O102" s="90">
        <f t="shared" si="27"/>
        <v>0</v>
      </c>
      <c r="P102" s="91"/>
      <c r="Q102" s="91"/>
      <c r="R102" s="92">
        <f t="shared" si="28"/>
        <v>0</v>
      </c>
      <c r="S102" s="93">
        <f t="shared" si="29"/>
        <v>0</v>
      </c>
      <c r="T102" s="101"/>
      <c r="U102" s="95">
        <f>IFERROR(__xludf.DUMMYFUNCTION("""COMPUTED_VALUE"""),0.0)</f>
        <v>0</v>
      </c>
    </row>
    <row r="103" ht="37.5" customHeight="1">
      <c r="B103" s="97">
        <v>20.0</v>
      </c>
      <c r="C103" s="99"/>
      <c r="D103" s="101"/>
      <c r="E103" s="101"/>
      <c r="F103" s="102"/>
      <c r="G103" s="53"/>
      <c r="H103" s="87">
        <f t="shared" si="23"/>
        <v>0</v>
      </c>
      <c r="I103" s="87">
        <f t="shared" si="24"/>
        <v>0</v>
      </c>
      <c r="J103" s="88" t="str">
        <f t="shared" si="25"/>
        <v/>
      </c>
      <c r="K103" s="88"/>
      <c r="L103" s="89">
        <f t="shared" si="26"/>
        <v>0</v>
      </c>
      <c r="M103" s="88"/>
      <c r="N103" s="88"/>
      <c r="O103" s="90">
        <f t="shared" si="27"/>
        <v>0</v>
      </c>
      <c r="P103" s="91"/>
      <c r="Q103" s="91"/>
      <c r="R103" s="92">
        <f t="shared" si="28"/>
        <v>0</v>
      </c>
      <c r="S103" s="93">
        <f t="shared" si="29"/>
        <v>0</v>
      </c>
      <c r="T103" s="101"/>
      <c r="U103" s="95">
        <f>IFERROR(__xludf.DUMMYFUNCTION("""COMPUTED_VALUE"""),0.0)</f>
        <v>0</v>
      </c>
    </row>
    <row r="104" ht="37.5" customHeight="1">
      <c r="B104" s="97">
        <v>21.0</v>
      </c>
      <c r="C104" s="99"/>
      <c r="D104" s="101"/>
      <c r="E104" s="101"/>
      <c r="F104" s="102"/>
      <c r="G104" s="53"/>
      <c r="H104" s="87">
        <f t="shared" si="23"/>
        <v>0</v>
      </c>
      <c r="I104" s="87">
        <f t="shared" si="24"/>
        <v>0</v>
      </c>
      <c r="J104" s="88" t="str">
        <f t="shared" si="25"/>
        <v/>
      </c>
      <c r="K104" s="88"/>
      <c r="L104" s="89">
        <f t="shared" si="26"/>
        <v>0</v>
      </c>
      <c r="M104" s="88"/>
      <c r="N104" s="88"/>
      <c r="O104" s="90">
        <f t="shared" si="27"/>
        <v>0</v>
      </c>
      <c r="P104" s="91"/>
      <c r="Q104" s="91"/>
      <c r="R104" s="92">
        <f t="shared" si="28"/>
        <v>0</v>
      </c>
      <c r="S104" s="93">
        <f t="shared" si="29"/>
        <v>0</v>
      </c>
      <c r="T104" s="101"/>
      <c r="U104" s="95"/>
    </row>
    <row r="105" ht="37.5" customHeight="1">
      <c r="B105" s="97">
        <v>22.0</v>
      </c>
      <c r="C105" s="99"/>
      <c r="D105" s="101"/>
      <c r="E105" s="101"/>
      <c r="F105" s="102"/>
      <c r="G105" s="53"/>
      <c r="H105" s="87">
        <f t="shared" si="23"/>
        <v>0</v>
      </c>
      <c r="I105" s="87">
        <f t="shared" si="24"/>
        <v>0</v>
      </c>
      <c r="J105" s="88" t="str">
        <f t="shared" si="25"/>
        <v/>
      </c>
      <c r="K105" s="88"/>
      <c r="L105" s="89">
        <f t="shared" si="26"/>
        <v>0</v>
      </c>
      <c r="M105" s="88"/>
      <c r="N105" s="88"/>
      <c r="O105" s="90">
        <f t="shared" si="27"/>
        <v>0</v>
      </c>
      <c r="P105" s="91"/>
      <c r="Q105" s="91"/>
      <c r="R105" s="92">
        <f t="shared" si="28"/>
        <v>0</v>
      </c>
      <c r="S105" s="93">
        <f t="shared" si="29"/>
        <v>0</v>
      </c>
      <c r="T105" s="101"/>
      <c r="U105" s="95"/>
    </row>
    <row r="106" ht="37.5" customHeight="1">
      <c r="B106" s="103"/>
      <c r="F106" s="104" t="s">
        <v>21</v>
      </c>
      <c r="S106" s="105">
        <f>SUM(S84:S105)</f>
        <v>2210000</v>
      </c>
      <c r="T106" s="106"/>
      <c r="U106" s="107"/>
    </row>
    <row r="107" ht="37.5" customHeight="1"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10"/>
    </row>
    <row r="108" ht="37.5" customHeight="1">
      <c r="B108" s="82" t="str">
        <f>IFERROR(__xludf.DUMMYFUNCTION("IMPORTRANGE(""https://docs.google.com/spreadsheets/d/17TnzcKnlaqlAyM_3lnNpgK5CAOPbscCCRVH50X8UulY/edit?usp=sharing"",""MARET!B94"")"),"TANGGAL : 30-31 MARET 2026")</f>
        <v>TANGGAL : 30-31 MARET 2026</v>
      </c>
      <c r="F108" s="83"/>
      <c r="G108" s="83"/>
      <c r="H108" s="83"/>
      <c r="I108" s="83"/>
      <c r="J108" s="83"/>
      <c r="K108" s="83"/>
      <c r="L108" s="84">
        <v>15000.0</v>
      </c>
      <c r="M108" s="83"/>
      <c r="N108" s="83"/>
      <c r="O108" s="83"/>
      <c r="P108" s="83"/>
      <c r="Q108" s="83"/>
      <c r="R108" s="83"/>
      <c r="S108" s="83"/>
      <c r="T108" s="83"/>
      <c r="U108" s="85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IFERROR(__xludf.DUMMYFUNCTION("IMPORTRANGE(""https://docs.google.com/spreadsheets/d/17TnzcKnlaqlAyM_3lnNpgK5CAOPbscCCRVH50X8UulY/edit?usp=sharing"",""MARET!B95:D114"")"),"EPUL")</f>
        <v>EPUL</v>
      </c>
      <c r="D109" s="27" t="str">
        <f>IFERROR(__xludf.DUMMYFUNCTION("""COMPUTED_VALUE"""),"KEPALA")</f>
        <v>KEPALA</v>
      </c>
      <c r="E109" s="28" t="str">
        <f>IFERROR(__xludf.DUMMYFUNCTION("""COMPUTED_VALUE"""),"SHIFT 1")</f>
        <v>SHIFT 1</v>
      </c>
      <c r="F109" s="52">
        <f>IFERROR(__xludf.DUMMYFUNCTION("IMPORTRANGE(""https://docs.google.com/spreadsheets/d/17TnzcKnlaqlAyM_3lnNpgK5CAOPbscCCRVH50X8UulY/edit?usp=sharing"",""MARET!K95:K113"")"),1.0)</f>
        <v>1</v>
      </c>
      <c r="G109" s="30">
        <v>70000.0</v>
      </c>
      <c r="H109" s="31">
        <f t="shared" ref="H109:H130" si="30">F109*G109</f>
        <v>70000</v>
      </c>
      <c r="I109" s="31">
        <f t="shared" ref="I109:I130" si="31">F109*10000</f>
        <v>10000</v>
      </c>
      <c r="J109" s="111" t="str">
        <f t="shared" ref="J109:J130" si="32">IF(E109="SHIFT 2",I109,"")</f>
        <v/>
      </c>
      <c r="K109" s="112" t="s">
        <v>22</v>
      </c>
      <c r="L109" s="33">
        <f t="shared" ref="L109:L130" si="33">U109*$L$108</f>
        <v>0</v>
      </c>
      <c r="M109" s="111"/>
      <c r="N109" s="111"/>
      <c r="O109" s="34">
        <f t="shared" ref="O109:O130" si="34">SUM(H109:N109)</f>
        <v>80000</v>
      </c>
      <c r="P109" s="113"/>
      <c r="Q109" s="113"/>
      <c r="R109" s="37">
        <f t="shared" ref="R109:R130" si="35">SUM(P109:Q109)</f>
        <v>0</v>
      </c>
      <c r="S109" s="38">
        <f t="shared" ref="S109:S130" si="36">O109-R109</f>
        <v>80000</v>
      </c>
      <c r="T109" s="52" t="str">
        <f>IFERROR(__xludf.DUMMYFUNCTION("IMPORTRANGE(""https://docs.google.com/spreadsheets/d/17TnzcKnlaqlAyM_3lnNpgK5CAOPbscCCRVH50X8UulY/edit?usp=sharing"",""MARET!L95:L114"")"),"")</f>
        <v/>
      </c>
      <c r="U109" s="42">
        <f>IFERROR(__xludf.DUMMYFUNCTION("IMPORTRANGE(""https://docs.google.com/spreadsheets/d/17TnzcKnlaqlAyM_3lnNpgK5CAOPbscCCRVH50X8UulY/edit?usp=sharing"",""MARET!U95:U114"")"),0.0)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 t="str">
        <f>IFERROR(__xludf.DUMMYFUNCTION("""COMPUTED_VALUE"""),"SHIFT 1")</f>
        <v>SHIFT 1</v>
      </c>
      <c r="F110" s="52">
        <f>IFERROR(__xludf.DUMMYFUNCTION("""COMPUTED_VALUE"""),2.0)</f>
        <v>2</v>
      </c>
      <c r="G110" s="30">
        <v>70000.0</v>
      </c>
      <c r="H110" s="31">
        <f t="shared" si="30"/>
        <v>140000</v>
      </c>
      <c r="I110" s="31">
        <f t="shared" si="31"/>
        <v>20000</v>
      </c>
      <c r="J110" s="111" t="str">
        <f t="shared" si="32"/>
        <v/>
      </c>
      <c r="K110" s="114"/>
      <c r="L110" s="33">
        <f t="shared" si="33"/>
        <v>0</v>
      </c>
      <c r="M110" s="114"/>
      <c r="N110" s="114"/>
      <c r="O110" s="34">
        <f t="shared" si="34"/>
        <v>160000</v>
      </c>
      <c r="P110" s="113"/>
      <c r="Q110" s="113"/>
      <c r="R110" s="37">
        <f t="shared" si="35"/>
        <v>0</v>
      </c>
      <c r="S110" s="38">
        <f t="shared" si="36"/>
        <v>160000</v>
      </c>
      <c r="T110" s="52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 t="str">
        <f>IFERROR(__xludf.DUMMYFUNCTION("""COMPUTED_VALUE"""),"ANDRI")</f>
        <v>ANDRI</v>
      </c>
      <c r="D111" s="27" t="str">
        <f>IFERROR(__xludf.DUMMYFUNCTION("""COMPUTED_VALUE"""),"DESIGN BORDIR")</f>
        <v>DESIGN BORDIR</v>
      </c>
      <c r="E111" s="28" t="str">
        <f>IFERROR(__xludf.DUMMYFUNCTION("""COMPUTED_VALUE"""),"SHIFT 1")</f>
        <v>SHIFT 1</v>
      </c>
      <c r="F111" s="52">
        <f>IFERROR(__xludf.DUMMYFUNCTION("""COMPUTED_VALUE"""),2.0)</f>
        <v>2</v>
      </c>
      <c r="G111" s="30">
        <v>70000.0</v>
      </c>
      <c r="H111" s="31">
        <f t="shared" si="30"/>
        <v>140000</v>
      </c>
      <c r="I111" s="31">
        <f t="shared" si="31"/>
        <v>20000</v>
      </c>
      <c r="J111" s="111" t="str">
        <f t="shared" si="32"/>
        <v/>
      </c>
      <c r="K111" s="114"/>
      <c r="L111" s="33">
        <f t="shared" si="33"/>
        <v>0</v>
      </c>
      <c r="M111" s="114"/>
      <c r="N111" s="114"/>
      <c r="O111" s="34">
        <f t="shared" si="34"/>
        <v>160000</v>
      </c>
      <c r="P111" s="113"/>
      <c r="Q111" s="113"/>
      <c r="R111" s="37">
        <f t="shared" si="35"/>
        <v>0</v>
      </c>
      <c r="S111" s="38">
        <f t="shared" si="36"/>
        <v>160000</v>
      </c>
      <c r="T111" s="52"/>
      <c r="U111" s="42">
        <f>IFERROR(__xludf.DUMMYFUNCTION("""COMPUTED_VALUE"""),0.0)</f>
        <v>0</v>
      </c>
      <c r="V111" s="24"/>
      <c r="W111" s="24"/>
    </row>
    <row r="112" ht="37.5" customHeight="1">
      <c r="B112" s="97">
        <v>4.0</v>
      </c>
      <c r="C112" s="26" t="str">
        <f>IFERROR(__xludf.DUMMYFUNCTION("""COMPUTED_VALUE"""),"ADIT")</f>
        <v>ADIT</v>
      </c>
      <c r="D112" s="27" t="str">
        <f>IFERROR(__xludf.DUMMYFUNCTION("""COMPUTED_VALUE"""),"CREATOR")</f>
        <v>CREATOR</v>
      </c>
      <c r="E112" s="28" t="str">
        <f>IFERROR(__xludf.DUMMYFUNCTION("""COMPUTED_VALUE"""),"SHIFT 1")</f>
        <v>SHIFT 1</v>
      </c>
      <c r="F112" s="52">
        <f>IFERROR(__xludf.DUMMYFUNCTION("""COMPUTED_VALUE"""),2.0)</f>
        <v>2</v>
      </c>
      <c r="G112" s="30">
        <v>50000.0</v>
      </c>
      <c r="H112" s="31">
        <f t="shared" si="30"/>
        <v>100000</v>
      </c>
      <c r="I112" s="31">
        <f t="shared" si="31"/>
        <v>20000</v>
      </c>
      <c r="J112" s="111" t="str">
        <f t="shared" si="32"/>
        <v/>
      </c>
      <c r="K112" s="111"/>
      <c r="L112" s="33">
        <f t="shared" si="33"/>
        <v>0</v>
      </c>
      <c r="M112" s="111"/>
      <c r="N112" s="111"/>
      <c r="O112" s="34">
        <f t="shared" si="34"/>
        <v>120000</v>
      </c>
      <c r="P112" s="113"/>
      <c r="Q112" s="113"/>
      <c r="R112" s="37">
        <f t="shared" si="35"/>
        <v>0</v>
      </c>
      <c r="S112" s="38">
        <f t="shared" si="36"/>
        <v>120000</v>
      </c>
      <c r="T112" s="52"/>
      <c r="U112" s="42">
        <f>IFERROR(__xludf.DUMMYFUNCTION("""COMPUTED_VALUE"""),0.0)</f>
        <v>0</v>
      </c>
    </row>
    <row r="113" ht="37.5" customHeight="1">
      <c r="B113" s="97">
        <v>5.0</v>
      </c>
      <c r="C113" s="26" t="str">
        <f>IFERROR(__xludf.DUMMYFUNCTION("""COMPUTED_VALUE"""),"WILI")</f>
        <v>WILI</v>
      </c>
      <c r="D113" s="27" t="str">
        <f>IFERROR(__xludf.DUMMYFUNCTION("""COMPUTED_VALUE"""),"OP MESIN")</f>
        <v>OP MESIN</v>
      </c>
      <c r="E113" s="28" t="str">
        <f>IFERROR(__xludf.DUMMYFUNCTION("""COMPUTED_VALUE"""),"SHIFT 1")</f>
        <v>SHIFT 1</v>
      </c>
      <c r="F113" s="52">
        <f>IFERROR(__xludf.DUMMYFUNCTION("""COMPUTED_VALUE"""),2.0)</f>
        <v>2</v>
      </c>
      <c r="G113" s="30">
        <v>70000.0</v>
      </c>
      <c r="H113" s="31">
        <f t="shared" si="30"/>
        <v>140000</v>
      </c>
      <c r="I113" s="31">
        <f t="shared" si="31"/>
        <v>20000</v>
      </c>
      <c r="J113" s="111" t="str">
        <f t="shared" si="32"/>
        <v/>
      </c>
      <c r="K113" s="111"/>
      <c r="L113" s="33">
        <f t="shared" si="33"/>
        <v>0</v>
      </c>
      <c r="M113" s="111"/>
      <c r="N113" s="111"/>
      <c r="O113" s="34">
        <f t="shared" si="34"/>
        <v>160000</v>
      </c>
      <c r="P113" s="113"/>
      <c r="Q113" s="113"/>
      <c r="R113" s="37">
        <f t="shared" si="35"/>
        <v>0</v>
      </c>
      <c r="S113" s="38">
        <f t="shared" si="36"/>
        <v>160000</v>
      </c>
      <c r="T113" s="52"/>
      <c r="U113" s="42">
        <f>IFERROR(__xludf.DUMMYFUNCTION("""COMPUTED_VALUE"""),0.0)</f>
        <v>0</v>
      </c>
    </row>
    <row r="114" ht="37.5" customHeight="1">
      <c r="B114" s="97">
        <v>6.0</v>
      </c>
      <c r="C114" s="26" t="str">
        <f>IFERROR(__xludf.DUMMYFUNCTION("""COMPUTED_VALUE"""),"OGA")</f>
        <v>OGA</v>
      </c>
      <c r="D114" s="27" t="str">
        <f>IFERROR(__xludf.DUMMYFUNCTION("""COMPUTED_VALUE"""),"OP MESIN")</f>
        <v>OP MESIN</v>
      </c>
      <c r="E114" s="28" t="str">
        <f>IFERROR(__xludf.DUMMYFUNCTION("""COMPUTED_VALUE"""),"SHIFT 1")</f>
        <v>SHIFT 1</v>
      </c>
      <c r="F114" s="52">
        <f>IFERROR(__xludf.DUMMYFUNCTION("""COMPUTED_VALUE"""),1.0)</f>
        <v>1</v>
      </c>
      <c r="G114" s="30">
        <v>70000.0</v>
      </c>
      <c r="H114" s="31">
        <f t="shared" si="30"/>
        <v>70000</v>
      </c>
      <c r="I114" s="31">
        <f t="shared" si="31"/>
        <v>10000</v>
      </c>
      <c r="J114" s="111" t="str">
        <f t="shared" si="32"/>
        <v/>
      </c>
      <c r="K114" s="111"/>
      <c r="L114" s="33">
        <f t="shared" si="33"/>
        <v>0</v>
      </c>
      <c r="M114" s="111"/>
      <c r="N114" s="111"/>
      <c r="O114" s="34">
        <f t="shared" si="34"/>
        <v>80000</v>
      </c>
      <c r="P114" s="113"/>
      <c r="Q114" s="113"/>
      <c r="R114" s="37">
        <f t="shared" si="35"/>
        <v>0</v>
      </c>
      <c r="S114" s="38">
        <f t="shared" si="36"/>
        <v>80000</v>
      </c>
      <c r="T114" s="52"/>
      <c r="U114" s="42">
        <f>IFERROR(__xludf.DUMMYFUNCTION("""COMPUTED_VALUE"""),0.0)</f>
        <v>0</v>
      </c>
    </row>
    <row r="115" ht="37.5" customHeight="1">
      <c r="B115" s="97">
        <v>7.0</v>
      </c>
      <c r="C115" s="26" t="str">
        <f>IFERROR(__xludf.DUMMYFUNCTION("""COMPUTED_VALUE"""),"ASEP")</f>
        <v>ASEP</v>
      </c>
      <c r="D115" s="27" t="str">
        <f>IFERROR(__xludf.DUMMYFUNCTION("""COMPUTED_VALUE"""),"OP MESIN")</f>
        <v>OP MESIN</v>
      </c>
      <c r="E115" s="28" t="str">
        <f>IFERROR(__xludf.DUMMYFUNCTION("""COMPUTED_VALUE"""),"SHIFT 1")</f>
        <v>SHIFT 1</v>
      </c>
      <c r="F115" s="52">
        <f>IFERROR(__xludf.DUMMYFUNCTION("""COMPUTED_VALUE"""),1.0)</f>
        <v>1</v>
      </c>
      <c r="G115" s="30">
        <v>50000.0</v>
      </c>
      <c r="H115" s="31">
        <f t="shared" si="30"/>
        <v>50000</v>
      </c>
      <c r="I115" s="31">
        <f t="shared" si="31"/>
        <v>10000</v>
      </c>
      <c r="J115" s="111" t="str">
        <f t="shared" si="32"/>
        <v/>
      </c>
      <c r="K115" s="111"/>
      <c r="L115" s="33">
        <f t="shared" si="33"/>
        <v>0</v>
      </c>
      <c r="M115" s="111"/>
      <c r="N115" s="111"/>
      <c r="O115" s="34">
        <f t="shared" si="34"/>
        <v>60000</v>
      </c>
      <c r="P115" s="113"/>
      <c r="Q115" s="113"/>
      <c r="R115" s="37">
        <f t="shared" si="35"/>
        <v>0</v>
      </c>
      <c r="S115" s="38">
        <f t="shared" si="36"/>
        <v>60000</v>
      </c>
      <c r="T115" s="52"/>
      <c r="U115" s="42">
        <f>IFERROR(__xludf.DUMMYFUNCTION("""COMPUTED_VALUE"""),0.0)</f>
        <v>0</v>
      </c>
    </row>
    <row r="116" ht="37.5" customHeight="1">
      <c r="B116" s="97">
        <v>8.0</v>
      </c>
      <c r="C116" s="26" t="str">
        <f>IFERROR(__xludf.DUMMYFUNCTION("""COMPUTED_VALUE"""),"HIFNI")</f>
        <v>HIFNI</v>
      </c>
      <c r="D116" s="27" t="str">
        <f>IFERROR(__xludf.DUMMYFUNCTION("""COMPUTED_VALUE"""),"OP MESIN")</f>
        <v>OP MESIN</v>
      </c>
      <c r="E116" s="28" t="str">
        <f>IFERROR(__xludf.DUMMYFUNCTION("""COMPUTED_VALUE"""),"SHIFT 1")</f>
        <v>SHIFT 1</v>
      </c>
      <c r="F116" s="52">
        <f>IFERROR(__xludf.DUMMYFUNCTION("""COMPUTED_VALUE"""),2.0)</f>
        <v>2</v>
      </c>
      <c r="G116" s="30">
        <v>50000.0</v>
      </c>
      <c r="H116" s="31">
        <f t="shared" si="30"/>
        <v>100000</v>
      </c>
      <c r="I116" s="31">
        <f t="shared" si="31"/>
        <v>20000</v>
      </c>
      <c r="J116" s="111" t="str">
        <f t="shared" si="32"/>
        <v/>
      </c>
      <c r="K116" s="111"/>
      <c r="L116" s="33">
        <f t="shared" si="33"/>
        <v>0</v>
      </c>
      <c r="M116" s="111"/>
      <c r="N116" s="111"/>
      <c r="O116" s="34">
        <f t="shared" si="34"/>
        <v>120000</v>
      </c>
      <c r="P116" s="113"/>
      <c r="Q116" s="113"/>
      <c r="R116" s="37">
        <f t="shared" si="35"/>
        <v>0</v>
      </c>
      <c r="S116" s="38">
        <f t="shared" si="36"/>
        <v>120000</v>
      </c>
      <c r="T116" s="52"/>
      <c r="U116" s="42">
        <f>IFERROR(__xludf.DUMMYFUNCTION("""COMPUTED_VALUE"""),0.0)</f>
        <v>0</v>
      </c>
    </row>
    <row r="117" ht="37.5" customHeight="1">
      <c r="B117" s="97">
        <v>9.0</v>
      </c>
      <c r="C117" s="26" t="str">
        <f>IFERROR(__xludf.DUMMYFUNCTION("""COMPUTED_VALUE"""),"IIS")</f>
        <v>IIS</v>
      </c>
      <c r="D117" s="27" t="str">
        <f>IFERROR(__xludf.DUMMYFUNCTION("""COMPUTED_VALUE"""),"PACKING")</f>
        <v>PACKING</v>
      </c>
      <c r="E117" s="28" t="str">
        <f>IFERROR(__xludf.DUMMYFUNCTION("""COMPUTED_VALUE"""),"SHIFT 1")</f>
        <v>SHIFT 1</v>
      </c>
      <c r="F117" s="52">
        <f>IFERROR(__xludf.DUMMYFUNCTION("""COMPUTED_VALUE"""),1.0)</f>
        <v>1</v>
      </c>
      <c r="G117" s="30">
        <v>70000.0</v>
      </c>
      <c r="H117" s="31">
        <f t="shared" si="30"/>
        <v>70000</v>
      </c>
      <c r="I117" s="31">
        <f t="shared" si="31"/>
        <v>10000</v>
      </c>
      <c r="J117" s="111" t="str">
        <f t="shared" si="32"/>
        <v/>
      </c>
      <c r="K117" s="111"/>
      <c r="L117" s="33">
        <f t="shared" si="33"/>
        <v>0</v>
      </c>
      <c r="M117" s="111"/>
      <c r="N117" s="111"/>
      <c r="O117" s="34">
        <f t="shared" si="34"/>
        <v>80000</v>
      </c>
      <c r="P117" s="113"/>
      <c r="Q117" s="113"/>
      <c r="R117" s="37">
        <f t="shared" si="35"/>
        <v>0</v>
      </c>
      <c r="S117" s="38">
        <f t="shared" si="36"/>
        <v>80000</v>
      </c>
      <c r="T117" s="52"/>
      <c r="U117" s="42">
        <f>IFERROR(__xludf.DUMMYFUNCTION("""COMPUTED_VALUE"""),0.0)</f>
        <v>0</v>
      </c>
    </row>
    <row r="118" ht="37.5" customHeight="1">
      <c r="B118" s="97">
        <v>10.0</v>
      </c>
      <c r="C118" s="26"/>
      <c r="D118" s="27"/>
      <c r="E118" s="28"/>
      <c r="F118" s="52">
        <f>IFERROR(__xludf.DUMMYFUNCTION("""COMPUTED_VALUE"""),0.0)</f>
        <v>0</v>
      </c>
      <c r="G118" s="30"/>
      <c r="H118" s="31">
        <f t="shared" si="30"/>
        <v>0</v>
      </c>
      <c r="I118" s="31">
        <f t="shared" si="31"/>
        <v>0</v>
      </c>
      <c r="J118" s="111" t="str">
        <f t="shared" si="32"/>
        <v/>
      </c>
      <c r="K118" s="111"/>
      <c r="L118" s="33">
        <f t="shared" si="33"/>
        <v>0</v>
      </c>
      <c r="M118" s="111"/>
      <c r="N118" s="111"/>
      <c r="O118" s="34">
        <f t="shared" si="34"/>
        <v>0</v>
      </c>
      <c r="P118" s="113"/>
      <c r="Q118" s="113"/>
      <c r="R118" s="37">
        <f t="shared" si="35"/>
        <v>0</v>
      </c>
      <c r="S118" s="38">
        <f t="shared" si="36"/>
        <v>0</v>
      </c>
      <c r="T118" s="52"/>
      <c r="U118" s="42">
        <f>IFERROR(__xludf.DUMMYFUNCTION("""COMPUTED_VALUE"""),0.0)</f>
        <v>0</v>
      </c>
    </row>
    <row r="119" ht="37.5" customHeight="1">
      <c r="B119" s="97">
        <v>11.0</v>
      </c>
      <c r="C119" s="115"/>
      <c r="D119" s="116"/>
      <c r="E119" s="117"/>
      <c r="F119" s="52">
        <f>IFERROR(__xludf.DUMMYFUNCTION("""COMPUTED_VALUE"""),0.0)</f>
        <v>0</v>
      </c>
      <c r="G119" s="118"/>
      <c r="H119" s="31">
        <f t="shared" si="30"/>
        <v>0</v>
      </c>
      <c r="I119" s="31">
        <f t="shared" si="31"/>
        <v>0</v>
      </c>
      <c r="J119" s="111" t="str">
        <f t="shared" si="32"/>
        <v/>
      </c>
      <c r="K119" s="111"/>
      <c r="L119" s="33">
        <f t="shared" si="33"/>
        <v>0</v>
      </c>
      <c r="M119" s="111"/>
      <c r="N119" s="111"/>
      <c r="O119" s="34">
        <f t="shared" si="34"/>
        <v>0</v>
      </c>
      <c r="P119" s="113"/>
      <c r="Q119" s="113"/>
      <c r="R119" s="37">
        <f t="shared" si="35"/>
        <v>0</v>
      </c>
      <c r="S119" s="38">
        <f t="shared" si="36"/>
        <v>0</v>
      </c>
      <c r="T119" s="52"/>
      <c r="U119" s="42">
        <f>IFERROR(__xludf.DUMMYFUNCTION("""COMPUTED_VALUE"""),0.0)</f>
        <v>0</v>
      </c>
    </row>
    <row r="120" ht="37.5" customHeight="1">
      <c r="B120" s="97">
        <v>12.0</v>
      </c>
      <c r="C120" s="115"/>
      <c r="D120" s="116"/>
      <c r="E120" s="117"/>
      <c r="F120" s="52">
        <f>IFERROR(__xludf.DUMMYFUNCTION("""COMPUTED_VALUE"""),0.0)</f>
        <v>0</v>
      </c>
      <c r="G120" s="118"/>
      <c r="H120" s="31">
        <f t="shared" si="30"/>
        <v>0</v>
      </c>
      <c r="I120" s="31">
        <f t="shared" si="31"/>
        <v>0</v>
      </c>
      <c r="J120" s="111" t="str">
        <f t="shared" si="32"/>
        <v/>
      </c>
      <c r="K120" s="111"/>
      <c r="L120" s="33">
        <f t="shared" si="33"/>
        <v>0</v>
      </c>
      <c r="M120" s="111"/>
      <c r="N120" s="111"/>
      <c r="O120" s="34">
        <f t="shared" si="34"/>
        <v>0</v>
      </c>
      <c r="P120" s="113"/>
      <c r="Q120" s="113"/>
      <c r="R120" s="37">
        <f t="shared" si="35"/>
        <v>0</v>
      </c>
      <c r="S120" s="38">
        <f t="shared" si="36"/>
        <v>0</v>
      </c>
      <c r="T120" s="52"/>
      <c r="U120" s="42">
        <f>IFERROR(__xludf.DUMMYFUNCTION("""COMPUTED_VALUE"""),0.0)</f>
        <v>0</v>
      </c>
    </row>
    <row r="121" ht="37.5" customHeight="1">
      <c r="B121" s="97">
        <v>13.0</v>
      </c>
      <c r="C121" s="115"/>
      <c r="D121" s="116"/>
      <c r="E121" s="117"/>
      <c r="F121" s="52">
        <f>IFERROR(__xludf.DUMMYFUNCTION("""COMPUTED_VALUE"""),0.0)</f>
        <v>0</v>
      </c>
      <c r="G121" s="118"/>
      <c r="H121" s="31">
        <f t="shared" si="30"/>
        <v>0</v>
      </c>
      <c r="I121" s="31">
        <f t="shared" si="31"/>
        <v>0</v>
      </c>
      <c r="J121" s="111" t="str">
        <f t="shared" si="32"/>
        <v/>
      </c>
      <c r="K121" s="111"/>
      <c r="L121" s="33">
        <f t="shared" si="33"/>
        <v>0</v>
      </c>
      <c r="M121" s="111"/>
      <c r="N121" s="111"/>
      <c r="O121" s="34">
        <f t="shared" si="34"/>
        <v>0</v>
      </c>
      <c r="P121" s="113"/>
      <c r="Q121" s="113"/>
      <c r="R121" s="37">
        <f t="shared" si="35"/>
        <v>0</v>
      </c>
      <c r="S121" s="38">
        <f t="shared" si="36"/>
        <v>0</v>
      </c>
      <c r="T121" s="52"/>
      <c r="U121" s="42">
        <f>IFERROR(__xludf.DUMMYFUNCTION("""COMPUTED_VALUE"""),0.0)</f>
        <v>0</v>
      </c>
    </row>
    <row r="122" ht="37.5" customHeight="1">
      <c r="B122" s="97">
        <v>14.0</v>
      </c>
      <c r="C122" s="115"/>
      <c r="D122" s="116"/>
      <c r="E122" s="117"/>
      <c r="F122" s="52">
        <f>IFERROR(__xludf.DUMMYFUNCTION("""COMPUTED_VALUE"""),0.0)</f>
        <v>0</v>
      </c>
      <c r="G122" s="118"/>
      <c r="H122" s="31">
        <f t="shared" si="30"/>
        <v>0</v>
      </c>
      <c r="I122" s="31">
        <f t="shared" si="31"/>
        <v>0</v>
      </c>
      <c r="J122" s="111" t="str">
        <f t="shared" si="32"/>
        <v/>
      </c>
      <c r="K122" s="111"/>
      <c r="L122" s="33">
        <f t="shared" si="33"/>
        <v>0</v>
      </c>
      <c r="M122" s="111"/>
      <c r="N122" s="111"/>
      <c r="O122" s="34">
        <f t="shared" si="34"/>
        <v>0</v>
      </c>
      <c r="P122" s="113"/>
      <c r="Q122" s="113"/>
      <c r="R122" s="37">
        <f t="shared" si="35"/>
        <v>0</v>
      </c>
      <c r="S122" s="38">
        <f t="shared" si="36"/>
        <v>0</v>
      </c>
      <c r="T122" s="52"/>
      <c r="U122" s="42">
        <f>IFERROR(__xludf.DUMMYFUNCTION("""COMPUTED_VALUE"""),0.0)</f>
        <v>0</v>
      </c>
    </row>
    <row r="123" ht="37.5" customHeight="1">
      <c r="B123" s="97">
        <v>15.0</v>
      </c>
      <c r="C123" s="115"/>
      <c r="D123" s="116"/>
      <c r="E123" s="117"/>
      <c r="F123" s="52">
        <f>IFERROR(__xludf.DUMMYFUNCTION("""COMPUTED_VALUE"""),0.0)</f>
        <v>0</v>
      </c>
      <c r="G123" s="118"/>
      <c r="H123" s="31">
        <f t="shared" si="30"/>
        <v>0</v>
      </c>
      <c r="I123" s="31">
        <f t="shared" si="31"/>
        <v>0</v>
      </c>
      <c r="J123" s="111" t="str">
        <f t="shared" si="32"/>
        <v/>
      </c>
      <c r="K123" s="111"/>
      <c r="L123" s="33">
        <f t="shared" si="33"/>
        <v>0</v>
      </c>
      <c r="M123" s="111"/>
      <c r="N123" s="111"/>
      <c r="O123" s="34">
        <f t="shared" si="34"/>
        <v>0</v>
      </c>
      <c r="P123" s="113"/>
      <c r="Q123" s="113"/>
      <c r="R123" s="37">
        <f t="shared" si="35"/>
        <v>0</v>
      </c>
      <c r="S123" s="38">
        <f t="shared" si="36"/>
        <v>0</v>
      </c>
      <c r="T123" s="52"/>
      <c r="U123" s="42">
        <f>IFERROR(__xludf.DUMMYFUNCTION("""COMPUTED_VALUE"""),0.0)</f>
        <v>0</v>
      </c>
    </row>
    <row r="124" ht="37.5" customHeight="1">
      <c r="B124" s="97">
        <v>16.0</v>
      </c>
      <c r="C124" s="115"/>
      <c r="D124" s="116"/>
      <c r="E124" s="117"/>
      <c r="F124" s="52">
        <f>IFERROR(__xludf.DUMMYFUNCTION("""COMPUTED_VALUE"""),0.0)</f>
        <v>0</v>
      </c>
      <c r="G124" s="118"/>
      <c r="H124" s="31">
        <f t="shared" si="30"/>
        <v>0</v>
      </c>
      <c r="I124" s="31">
        <f t="shared" si="31"/>
        <v>0</v>
      </c>
      <c r="J124" s="111" t="str">
        <f t="shared" si="32"/>
        <v/>
      </c>
      <c r="K124" s="111"/>
      <c r="L124" s="33">
        <f t="shared" si="33"/>
        <v>0</v>
      </c>
      <c r="M124" s="111"/>
      <c r="N124" s="111"/>
      <c r="O124" s="34">
        <f t="shared" si="34"/>
        <v>0</v>
      </c>
      <c r="P124" s="113"/>
      <c r="Q124" s="113"/>
      <c r="R124" s="37">
        <f t="shared" si="35"/>
        <v>0</v>
      </c>
      <c r="S124" s="38">
        <f t="shared" si="36"/>
        <v>0</v>
      </c>
      <c r="T124" s="52"/>
      <c r="U124" s="42">
        <f>IFERROR(__xludf.DUMMYFUNCTION("""COMPUTED_VALUE"""),0.0)</f>
        <v>0</v>
      </c>
    </row>
    <row r="125" ht="37.5" customHeight="1">
      <c r="B125" s="97">
        <v>17.0</v>
      </c>
      <c r="C125" s="115"/>
      <c r="D125" s="116"/>
      <c r="E125" s="117"/>
      <c r="F125" s="52">
        <f>IFERROR(__xludf.DUMMYFUNCTION("""COMPUTED_VALUE"""),0.0)</f>
        <v>0</v>
      </c>
      <c r="G125" s="118"/>
      <c r="H125" s="31">
        <f t="shared" si="30"/>
        <v>0</v>
      </c>
      <c r="I125" s="31">
        <f t="shared" si="31"/>
        <v>0</v>
      </c>
      <c r="J125" s="111" t="str">
        <f t="shared" si="32"/>
        <v/>
      </c>
      <c r="K125" s="111"/>
      <c r="L125" s="33">
        <f t="shared" si="33"/>
        <v>0</v>
      </c>
      <c r="M125" s="111"/>
      <c r="N125" s="111"/>
      <c r="O125" s="34">
        <f t="shared" si="34"/>
        <v>0</v>
      </c>
      <c r="P125" s="113"/>
      <c r="Q125" s="113"/>
      <c r="R125" s="37">
        <f t="shared" si="35"/>
        <v>0</v>
      </c>
      <c r="S125" s="38">
        <f t="shared" si="36"/>
        <v>0</v>
      </c>
      <c r="T125" s="52"/>
      <c r="U125" s="42">
        <f>IFERROR(__xludf.DUMMYFUNCTION("""COMPUTED_VALUE"""),0.0)</f>
        <v>0</v>
      </c>
    </row>
    <row r="126" ht="37.5" customHeight="1">
      <c r="B126" s="97">
        <v>18.0</v>
      </c>
      <c r="C126" s="99"/>
      <c r="D126" s="101"/>
      <c r="E126" s="101"/>
      <c r="F126" s="102">
        <f>IFERROR(__xludf.DUMMYFUNCTION("""COMPUTED_VALUE"""),0.0)</f>
        <v>0</v>
      </c>
      <c r="G126" s="53"/>
      <c r="H126" s="87">
        <f t="shared" si="30"/>
        <v>0</v>
      </c>
      <c r="I126" s="87">
        <f t="shared" si="31"/>
        <v>0</v>
      </c>
      <c r="J126" s="88" t="str">
        <f t="shared" si="32"/>
        <v/>
      </c>
      <c r="K126" s="88"/>
      <c r="L126" s="89">
        <f t="shared" si="33"/>
        <v>0</v>
      </c>
      <c r="M126" s="88"/>
      <c r="N126" s="88"/>
      <c r="O126" s="90">
        <f t="shared" si="34"/>
        <v>0</v>
      </c>
      <c r="P126" s="91"/>
      <c r="Q126" s="91"/>
      <c r="R126" s="92">
        <f t="shared" si="35"/>
        <v>0</v>
      </c>
      <c r="S126" s="93">
        <f t="shared" si="36"/>
        <v>0</v>
      </c>
      <c r="T126" s="42"/>
      <c r="U126" s="95">
        <f>IFERROR(__xludf.DUMMYFUNCTION("""COMPUTED_VALUE"""),0.0)</f>
        <v>0</v>
      </c>
    </row>
    <row r="127" ht="37.5" customHeight="1">
      <c r="B127" s="97">
        <v>19.0</v>
      </c>
      <c r="C127" s="99"/>
      <c r="D127" s="101"/>
      <c r="E127" s="101"/>
      <c r="F127" s="102">
        <f>IFERROR(__xludf.DUMMYFUNCTION("""COMPUTED_VALUE"""),0.0)</f>
        <v>0</v>
      </c>
      <c r="G127" s="53"/>
      <c r="H127" s="87">
        <f t="shared" si="30"/>
        <v>0</v>
      </c>
      <c r="I127" s="87">
        <f t="shared" si="31"/>
        <v>0</v>
      </c>
      <c r="J127" s="88" t="str">
        <f t="shared" si="32"/>
        <v/>
      </c>
      <c r="K127" s="88"/>
      <c r="L127" s="89">
        <f t="shared" si="33"/>
        <v>0</v>
      </c>
      <c r="M127" s="88"/>
      <c r="N127" s="88"/>
      <c r="O127" s="90">
        <f t="shared" si="34"/>
        <v>0</v>
      </c>
      <c r="P127" s="91"/>
      <c r="Q127" s="91"/>
      <c r="R127" s="92">
        <f t="shared" si="35"/>
        <v>0</v>
      </c>
      <c r="S127" s="93">
        <f t="shared" si="36"/>
        <v>0</v>
      </c>
      <c r="T127" s="42"/>
      <c r="U127" s="95">
        <f>IFERROR(__xludf.DUMMYFUNCTION("""COMPUTED_VALUE"""),0.0)</f>
        <v>0</v>
      </c>
    </row>
    <row r="128" ht="37.5" customHeight="1">
      <c r="B128" s="97">
        <v>20.0</v>
      </c>
      <c r="C128" s="99"/>
      <c r="D128" s="101"/>
      <c r="E128" s="101"/>
      <c r="F128" s="102"/>
      <c r="G128" s="53"/>
      <c r="H128" s="87">
        <f t="shared" si="30"/>
        <v>0</v>
      </c>
      <c r="I128" s="87">
        <f t="shared" si="31"/>
        <v>0</v>
      </c>
      <c r="J128" s="88" t="str">
        <f t="shared" si="32"/>
        <v/>
      </c>
      <c r="K128" s="88"/>
      <c r="L128" s="89">
        <f t="shared" si="33"/>
        <v>0</v>
      </c>
      <c r="M128" s="88"/>
      <c r="N128" s="88"/>
      <c r="O128" s="90">
        <f t="shared" si="34"/>
        <v>0</v>
      </c>
      <c r="P128" s="91"/>
      <c r="Q128" s="91"/>
      <c r="R128" s="92">
        <f t="shared" si="35"/>
        <v>0</v>
      </c>
      <c r="S128" s="93">
        <f t="shared" si="36"/>
        <v>0</v>
      </c>
      <c r="T128" s="42"/>
      <c r="U128" s="95">
        <f>IFERROR(__xludf.DUMMYFUNCTION("""COMPUTED_VALUE"""),0.0)</f>
        <v>0</v>
      </c>
    </row>
    <row r="129" ht="37.5" customHeight="1">
      <c r="B129" s="97">
        <v>21.0</v>
      </c>
      <c r="C129" s="99"/>
      <c r="D129" s="101"/>
      <c r="E129" s="101"/>
      <c r="F129" s="102"/>
      <c r="G129" s="53"/>
      <c r="H129" s="87">
        <f t="shared" si="30"/>
        <v>0</v>
      </c>
      <c r="I129" s="87">
        <f t="shared" si="31"/>
        <v>0</v>
      </c>
      <c r="J129" s="88" t="str">
        <f t="shared" si="32"/>
        <v/>
      </c>
      <c r="K129" s="88"/>
      <c r="L129" s="89">
        <f t="shared" si="33"/>
        <v>0</v>
      </c>
      <c r="M129" s="88"/>
      <c r="N129" s="88"/>
      <c r="O129" s="90">
        <f t="shared" si="34"/>
        <v>0</v>
      </c>
      <c r="P129" s="91"/>
      <c r="Q129" s="91"/>
      <c r="R129" s="92">
        <f t="shared" si="35"/>
        <v>0</v>
      </c>
      <c r="S129" s="93">
        <f t="shared" si="36"/>
        <v>0</v>
      </c>
      <c r="T129" s="42"/>
      <c r="U129" s="95"/>
    </row>
    <row r="130" ht="37.5" customHeight="1">
      <c r="B130" s="97">
        <v>22.0</v>
      </c>
      <c r="C130" s="99"/>
      <c r="D130" s="101"/>
      <c r="E130" s="101"/>
      <c r="F130" s="102"/>
      <c r="G130" s="53"/>
      <c r="H130" s="87">
        <f t="shared" si="30"/>
        <v>0</v>
      </c>
      <c r="I130" s="87">
        <f t="shared" si="31"/>
        <v>0</v>
      </c>
      <c r="J130" s="88" t="str">
        <f t="shared" si="32"/>
        <v/>
      </c>
      <c r="K130" s="88"/>
      <c r="L130" s="89">
        <f t="shared" si="33"/>
        <v>0</v>
      </c>
      <c r="M130" s="88"/>
      <c r="N130" s="88"/>
      <c r="O130" s="90">
        <f t="shared" si="34"/>
        <v>0</v>
      </c>
      <c r="P130" s="91"/>
      <c r="Q130" s="91"/>
      <c r="R130" s="92">
        <f t="shared" si="35"/>
        <v>0</v>
      </c>
      <c r="S130" s="93">
        <f t="shared" si="36"/>
        <v>0</v>
      </c>
      <c r="T130" s="42"/>
      <c r="U130" s="95"/>
    </row>
    <row r="131">
      <c r="B131" s="103"/>
      <c r="F131" s="104" t="s">
        <v>21</v>
      </c>
      <c r="S131" s="105">
        <f>SUM(S109:S130)</f>
        <v>1020000</v>
      </c>
      <c r="T131" s="106"/>
      <c r="U131" s="107"/>
    </row>
    <row r="132"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19"/>
      <c r="T132" s="119"/>
      <c r="U132" s="110"/>
    </row>
    <row r="133">
      <c r="B133" s="120" t="s">
        <v>21</v>
      </c>
      <c r="F133" s="121">
        <f>S31+S56+S81+S106+S131</f>
        <v>13145000</v>
      </c>
      <c r="T133" s="122"/>
      <c r="U133" s="123"/>
    </row>
  </sheetData>
  <mergeCells count="24">
    <mergeCell ref="B2:E3"/>
    <mergeCell ref="F2:U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25.88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1">
      <c r="A1" s="124"/>
    </row>
    <row r="2" ht="27.0" customHeight="1">
      <c r="B2" s="125">
        <f>IFERROR(__xludf.DUMMYFUNCTION("IMPORTRANGE(""https://docs.google.com/spreadsheets/d/17TnzcKnlaqlAyM_3lnNpgK5CAOPbscCCRVH50X8UulY/edit?usp=sharing"",""APRIL!B2"")"),46113.0)</f>
        <v>46113</v>
      </c>
      <c r="C2" s="2"/>
      <c r="D2" s="2"/>
      <c r="E2" s="3"/>
      <c r="F2" s="126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IFERROR(__xludf.DUMMYFUNCTION("IMPORTRANGE(""https://docs.google.com/spreadsheets/d/17TnzcKnlaqlAyM_3lnNpgK5CAOPbscCCRVH50X8UulY/edit?usp=sharing"",""APRIL!B6"")"),"TANGGAL : 1-4 APRIL 2026")</f>
        <v>TANGGAL : 1-4 APRIL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IFERROR(__xludf.DUMMYFUNCTION("IMPORTRANGE(""https://docs.google.com/spreadsheets/d/17TnzcKnlaqlAyM_3lnNpgK5CAOPbscCCRVH50X8UulY/edit?usp=sharing"",""APRIL!B7:D26"")"),"EPUL")</f>
        <v>EPUL</v>
      </c>
      <c r="D9" s="27" t="str">
        <f>IFERROR(__xludf.DUMMYFUNCTION("""COMPUTED_VALUE"""),"KEPALA")</f>
        <v>KEPALA</v>
      </c>
      <c r="E9" s="28" t="str">
        <f>IFERROR(__xludf.DUMMYFUNCTION("""COMPUTED_VALUE"""),"SHIFT 1")</f>
        <v>SHIFT 1</v>
      </c>
      <c r="F9" s="52">
        <f>IFERROR(__xludf.DUMMYFUNCTION("IMPORTRANGE(""https://docs.google.com/spreadsheets/d/17TnzcKnlaqlAyM_3lnNpgK5CAOPbscCCRVH50X8UulY/edit?usp=sharing"",""APRIL!K7:K25"")"),3.0)</f>
        <v>3</v>
      </c>
      <c r="G9" s="30">
        <v>70000.0</v>
      </c>
      <c r="H9" s="31">
        <f t="shared" ref="H9:H30" si="1">F9*G9</f>
        <v>210000</v>
      </c>
      <c r="I9" s="31">
        <f t="shared" ref="I9:I30" si="2">F9*10000</f>
        <v>30000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240000</v>
      </c>
      <c r="P9" s="44"/>
      <c r="Q9" s="44"/>
      <c r="R9" s="37">
        <f t="shared" ref="R9:R30" si="6">SUM(P9:Q9)</f>
        <v>0</v>
      </c>
      <c r="S9" s="38">
        <f t="shared" ref="S9:S30" si="7">O9-R9</f>
        <v>240000</v>
      </c>
      <c r="T9" s="39" t="str">
        <f>IFERROR(__xludf.DUMMYFUNCTION("IMPORTRANGE(""https://docs.google.com/spreadsheets/d/17TnzcKnlaqlAyM_3lnNpgK5CAOPbscCCRVH50X8UulY/edit?usp=sharing"",""APRIL!L7:L26"")"),"")</f>
        <v/>
      </c>
      <c r="U9" s="42">
        <f>IFERROR(__xludf.DUMMYFUNCTION("IMPORTRANGE(""https://docs.google.com/spreadsheets/d/17TnzcKnlaqlAyM_3lnNpgK5CAOPbscCCRVH50X8UulY/edit?usp=sharing"",""APRIL!U7:U26"")"),0.0)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 t="str">
        <f>IFERROR(__xludf.DUMMYFUNCTION("""COMPUTED_VALUE"""),"SHIFT 1")</f>
        <v>SHIFT 1</v>
      </c>
      <c r="F10" s="52">
        <f>IFERROR(__xludf.DUMMYFUNCTION("""COMPUTED_VALUE"""),6.0)</f>
        <v>6</v>
      </c>
      <c r="G10" s="30">
        <v>70000.0</v>
      </c>
      <c r="H10" s="31">
        <f t="shared" si="1"/>
        <v>420000</v>
      </c>
      <c r="I10" s="31">
        <f t="shared" si="2"/>
        <v>60000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480000</v>
      </c>
      <c r="P10" s="44"/>
      <c r="Q10" s="44"/>
      <c r="R10" s="37">
        <f t="shared" si="6"/>
        <v>0</v>
      </c>
      <c r="S10" s="38">
        <f t="shared" si="7"/>
        <v>480000</v>
      </c>
      <c r="T10" s="3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 t="str">
        <f>IFERROR(__xludf.DUMMYFUNCTION("""COMPUTED_VALUE"""),"ANDRI")</f>
        <v>ANDRI</v>
      </c>
      <c r="D11" s="27" t="str">
        <f>IFERROR(__xludf.DUMMYFUNCTION("""COMPUTED_VALUE"""),"DESIGN BORDIR")</f>
        <v>DESIGN BORDIR</v>
      </c>
      <c r="E11" s="28" t="str">
        <f>IFERROR(__xludf.DUMMYFUNCTION("""COMPUTED_VALUE"""),"SHIFT 1")</f>
        <v>SHIFT 1</v>
      </c>
      <c r="F11" s="52">
        <f>IFERROR(__xludf.DUMMYFUNCTION("""COMPUTED_VALUE"""),2.0)</f>
        <v>2</v>
      </c>
      <c r="G11" s="30">
        <v>70000.0</v>
      </c>
      <c r="H11" s="31">
        <f t="shared" si="1"/>
        <v>140000</v>
      </c>
      <c r="I11" s="31">
        <f t="shared" si="2"/>
        <v>20000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160000</v>
      </c>
      <c r="P11" s="44"/>
      <c r="Q11" s="44"/>
      <c r="R11" s="37">
        <f t="shared" si="6"/>
        <v>0</v>
      </c>
      <c r="S11" s="38">
        <f t="shared" si="7"/>
        <v>160000</v>
      </c>
      <c r="T11" s="3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IFERROR(__xludf.DUMMYFUNCTION("""COMPUTED_VALUE"""),"ADIT")</f>
        <v>ADIT</v>
      </c>
      <c r="D12" s="27" t="str">
        <f>IFERROR(__xludf.DUMMYFUNCTION("""COMPUTED_VALUE"""),"CREATOR")</f>
        <v>CREATOR</v>
      </c>
      <c r="E12" s="28" t="str">
        <f>IFERROR(__xludf.DUMMYFUNCTION("""COMPUTED_VALUE"""),"SHIFT 1")</f>
        <v>SHIFT 1</v>
      </c>
      <c r="F12" s="52">
        <f>IFERROR(__xludf.DUMMYFUNCTION("""COMPUTED_VALUE"""),6.0)</f>
        <v>6</v>
      </c>
      <c r="G12" s="30">
        <v>50000.0</v>
      </c>
      <c r="H12" s="31">
        <f t="shared" si="1"/>
        <v>300000</v>
      </c>
      <c r="I12" s="31">
        <f t="shared" si="2"/>
        <v>60000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360000</v>
      </c>
      <c r="P12" s="44"/>
      <c r="Q12" s="44"/>
      <c r="R12" s="37">
        <f t="shared" si="6"/>
        <v>0</v>
      </c>
      <c r="S12" s="38">
        <f t="shared" si="7"/>
        <v>360000</v>
      </c>
      <c r="T12" s="39"/>
      <c r="U12" s="42">
        <f>IFERROR(__xludf.DUMMYFUNCTION("""COMPUTED_VALUE"""),0.0)</f>
        <v>0</v>
      </c>
      <c r="V12" s="24"/>
      <c r="W12" s="24"/>
    </row>
    <row r="13" ht="37.5" customHeight="1">
      <c r="A13" s="24"/>
      <c r="B13" s="25">
        <v>5.0</v>
      </c>
      <c r="C13" s="26" t="str">
        <f>IFERROR(__xludf.DUMMYFUNCTION("""COMPUTED_VALUE"""),"WILI")</f>
        <v>WILI</v>
      </c>
      <c r="D13" s="27" t="str">
        <f>IFERROR(__xludf.DUMMYFUNCTION("""COMPUTED_VALUE"""),"OP MESIN")</f>
        <v>OP MESIN</v>
      </c>
      <c r="E13" s="28" t="str">
        <f>IFERROR(__xludf.DUMMYFUNCTION("""COMPUTED_VALUE"""),"SHIFT 1")</f>
        <v>SHIFT 1</v>
      </c>
      <c r="F13" s="52">
        <f>IFERROR(__xludf.DUMMYFUNCTION("""COMPUTED_VALUE"""),6.0)</f>
        <v>6</v>
      </c>
      <c r="G13" s="30">
        <v>70000.0</v>
      </c>
      <c r="H13" s="31">
        <f t="shared" si="1"/>
        <v>420000</v>
      </c>
      <c r="I13" s="31">
        <f t="shared" si="2"/>
        <v>60000</v>
      </c>
      <c r="J13" s="32" t="str">
        <f t="shared" si="3"/>
        <v/>
      </c>
      <c r="K13" s="32"/>
      <c r="L13" s="33">
        <f t="shared" si="4"/>
        <v>15000</v>
      </c>
      <c r="M13" s="32"/>
      <c r="N13" s="32"/>
      <c r="O13" s="34">
        <f t="shared" si="5"/>
        <v>495000</v>
      </c>
      <c r="P13" s="44"/>
      <c r="Q13" s="127" t="s">
        <v>22</v>
      </c>
      <c r="R13" s="37">
        <f t="shared" si="6"/>
        <v>0</v>
      </c>
      <c r="S13" s="38">
        <f t="shared" si="7"/>
        <v>495000</v>
      </c>
      <c r="T13" s="39"/>
      <c r="U13" s="42">
        <f>IFERROR(__xludf.DUMMYFUNCTION("""COMPUTED_VALUE"""),1.0)</f>
        <v>1</v>
      </c>
      <c r="V13" s="24"/>
      <c r="W13" s="24"/>
    </row>
    <row r="14" ht="37.5" customHeight="1">
      <c r="A14" s="24"/>
      <c r="B14" s="25">
        <v>6.0</v>
      </c>
      <c r="C14" s="26" t="str">
        <f>IFERROR(__xludf.DUMMYFUNCTION("""COMPUTED_VALUE"""),"OGA")</f>
        <v>OGA</v>
      </c>
      <c r="D14" s="27" t="str">
        <f>IFERROR(__xludf.DUMMYFUNCTION("""COMPUTED_VALUE"""),"OP MESIN")</f>
        <v>OP MESIN</v>
      </c>
      <c r="E14" s="28" t="str">
        <f>IFERROR(__xludf.DUMMYFUNCTION("""COMPUTED_VALUE"""),"SHIFT 1")</f>
        <v>SHIFT 1</v>
      </c>
      <c r="F14" s="52">
        <f>IFERROR(__xludf.DUMMYFUNCTION("""COMPUTED_VALUE"""),4.0)</f>
        <v>4</v>
      </c>
      <c r="G14" s="30">
        <v>70000.0</v>
      </c>
      <c r="H14" s="31">
        <f t="shared" si="1"/>
        <v>280000</v>
      </c>
      <c r="I14" s="31">
        <f t="shared" si="2"/>
        <v>40000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320000</v>
      </c>
      <c r="P14" s="44"/>
      <c r="Q14" s="44"/>
      <c r="R14" s="37">
        <f t="shared" si="6"/>
        <v>0</v>
      </c>
      <c r="S14" s="38">
        <f t="shared" si="7"/>
        <v>320000</v>
      </c>
      <c r="T14" s="39"/>
      <c r="U14" s="42">
        <f>IFERROR(__xludf.DUMMYFUNCTION("""COMPUTED_VALUE"""),0.0)</f>
        <v>0</v>
      </c>
      <c r="V14" s="24"/>
      <c r="W14" s="24"/>
    </row>
    <row r="15" ht="37.5" customHeight="1">
      <c r="A15" s="24"/>
      <c r="B15" s="25">
        <v>7.0</v>
      </c>
      <c r="C15" s="26" t="str">
        <f>IFERROR(__xludf.DUMMYFUNCTION("""COMPUTED_VALUE"""),"ASEP")</f>
        <v>ASEP</v>
      </c>
      <c r="D15" s="27" t="str">
        <f>IFERROR(__xludf.DUMMYFUNCTION("""COMPUTED_VALUE"""),"OP MESIN")</f>
        <v>OP MESIN</v>
      </c>
      <c r="E15" s="28" t="str">
        <f>IFERROR(__xludf.DUMMYFUNCTION("""COMPUTED_VALUE"""),"SHIFT 1")</f>
        <v>SHIFT 1</v>
      </c>
      <c r="F15" s="52">
        <f>IFERROR(__xludf.DUMMYFUNCTION("""COMPUTED_VALUE"""),4.0)</f>
        <v>4</v>
      </c>
      <c r="G15" s="30">
        <v>50000.0</v>
      </c>
      <c r="H15" s="31">
        <f t="shared" si="1"/>
        <v>200000</v>
      </c>
      <c r="I15" s="31">
        <f t="shared" si="2"/>
        <v>40000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240000</v>
      </c>
      <c r="P15" s="44"/>
      <c r="Q15" s="44"/>
      <c r="R15" s="37">
        <f t="shared" si="6"/>
        <v>0</v>
      </c>
      <c r="S15" s="38">
        <f t="shared" si="7"/>
        <v>240000</v>
      </c>
      <c r="T15" s="39"/>
      <c r="U15" s="42">
        <f>IFERROR(__xludf.DUMMYFUNCTION("""COMPUTED_VALUE"""),0.0)</f>
        <v>0</v>
      </c>
      <c r="V15" s="24"/>
      <c r="W15" s="24"/>
    </row>
    <row r="16" ht="37.5" customHeight="1">
      <c r="A16" s="24"/>
      <c r="B16" s="25">
        <v>8.0</v>
      </c>
      <c r="C16" s="26" t="str">
        <f>IFERROR(__xludf.DUMMYFUNCTION("""COMPUTED_VALUE"""),"HIFNI")</f>
        <v>HIFNI</v>
      </c>
      <c r="D16" s="27" t="str">
        <f>IFERROR(__xludf.DUMMYFUNCTION("""COMPUTED_VALUE"""),"OP MESIN")</f>
        <v>OP MESIN</v>
      </c>
      <c r="E16" s="28" t="str">
        <f>IFERROR(__xludf.DUMMYFUNCTION("""COMPUTED_VALUE"""),"SHIFT 1")</f>
        <v>SHIFT 1</v>
      </c>
      <c r="F16" s="52">
        <f>IFERROR(__xludf.DUMMYFUNCTION("""COMPUTED_VALUE"""),6.0)</f>
        <v>6</v>
      </c>
      <c r="G16" s="30">
        <v>50000.0</v>
      </c>
      <c r="H16" s="31">
        <f t="shared" si="1"/>
        <v>300000</v>
      </c>
      <c r="I16" s="31">
        <f t="shared" si="2"/>
        <v>60000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360000</v>
      </c>
      <c r="P16" s="44"/>
      <c r="Q16" s="44"/>
      <c r="R16" s="37">
        <f t="shared" si="6"/>
        <v>0</v>
      </c>
      <c r="S16" s="38">
        <f t="shared" si="7"/>
        <v>360000</v>
      </c>
      <c r="T16" s="39"/>
      <c r="U16" s="42">
        <f>IFERROR(__xludf.DUMMYFUNCTION("""COMPUTED_VALUE"""),0.0)</f>
        <v>0</v>
      </c>
      <c r="V16" s="24"/>
      <c r="W16" s="24"/>
    </row>
    <row r="17" ht="37.5" customHeight="1">
      <c r="A17" s="24"/>
      <c r="B17" s="25">
        <v>9.0</v>
      </c>
      <c r="C17" s="26" t="str">
        <f>IFERROR(__xludf.DUMMYFUNCTION("""COMPUTED_VALUE"""),"IIS")</f>
        <v>IIS</v>
      </c>
      <c r="D17" s="27" t="str">
        <f>IFERROR(__xludf.DUMMYFUNCTION("""COMPUTED_VALUE"""),"PACKING")</f>
        <v>PACKING</v>
      </c>
      <c r="E17" s="28" t="str">
        <f>IFERROR(__xludf.DUMMYFUNCTION("""COMPUTED_VALUE"""),"SHIFT 1")</f>
        <v>SHIFT 1</v>
      </c>
      <c r="F17" s="52">
        <f>IFERROR(__xludf.DUMMYFUNCTION("""COMPUTED_VALUE"""),5.0)</f>
        <v>5</v>
      </c>
      <c r="G17" s="30">
        <v>70000.0</v>
      </c>
      <c r="H17" s="31">
        <f t="shared" si="1"/>
        <v>350000</v>
      </c>
      <c r="I17" s="31">
        <f t="shared" si="2"/>
        <v>50000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400000</v>
      </c>
      <c r="P17" s="44"/>
      <c r="Q17" s="44"/>
      <c r="R17" s="37">
        <f t="shared" si="6"/>
        <v>0</v>
      </c>
      <c r="S17" s="38">
        <f t="shared" si="7"/>
        <v>400000</v>
      </c>
      <c r="T17" s="39"/>
      <c r="U17" s="42">
        <f>IFERROR(__xludf.DUMMYFUNCTION("""COMPUTED_VALUE"""),0.0)</f>
        <v>0</v>
      </c>
      <c r="V17" s="24"/>
      <c r="W17" s="24"/>
    </row>
    <row r="18" ht="37.5" customHeight="1">
      <c r="A18" s="24"/>
      <c r="B18" s="25">
        <v>10.0</v>
      </c>
      <c r="C18" s="49"/>
      <c r="D18" s="50"/>
      <c r="E18" s="51"/>
      <c r="F18" s="52">
        <f>IFERROR(__xludf.DUMMYFUNCTION("""COMPUTED_VALUE"""),0.0)</f>
        <v>0</v>
      </c>
      <c r="G18" s="45"/>
      <c r="H18" s="31">
        <f t="shared" si="1"/>
        <v>0</v>
      </c>
      <c r="I18" s="31">
        <f t="shared" si="2"/>
        <v>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0</v>
      </c>
      <c r="P18" s="44"/>
      <c r="Q18" s="44"/>
      <c r="R18" s="37">
        <f t="shared" si="6"/>
        <v>0</v>
      </c>
      <c r="S18" s="38">
        <f t="shared" si="7"/>
        <v>0</v>
      </c>
      <c r="T18" s="39"/>
      <c r="U18" s="42">
        <f>IFERROR(__xludf.DUMMYFUNCTION("""COMPUTED_VALUE"""),0.0)</f>
        <v>0</v>
      </c>
      <c r="V18" s="2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44"/>
      <c r="Q19" s="44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24"/>
      <c r="W19" s="24"/>
    </row>
    <row r="20" ht="37.5" customHeight="1">
      <c r="A20" s="24"/>
      <c r="B20" s="25">
        <v>12.0</v>
      </c>
      <c r="C20" s="49"/>
      <c r="D20" s="50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44"/>
      <c r="Q20" s="44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2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/>
      <c r="K21" s="32"/>
      <c r="L21" s="33">
        <f t="shared" si="4"/>
        <v>0</v>
      </c>
      <c r="M21" s="32"/>
      <c r="N21" s="32"/>
      <c r="O21" s="34">
        <f t="shared" si="5"/>
        <v>0</v>
      </c>
      <c r="P21" s="44"/>
      <c r="Q21" s="44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2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>IF(E22="SHIFT 2",I22,"")</f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44"/>
      <c r="Q22" s="44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2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2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24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8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24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8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24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8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8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8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8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A31" s="24"/>
      <c r="B31" s="54"/>
      <c r="F31" s="55" t="s">
        <v>21</v>
      </c>
      <c r="S31" s="56">
        <f>SUM(S9:S30)</f>
        <v>3055000</v>
      </c>
      <c r="T31" s="57"/>
      <c r="U31" s="58"/>
      <c r="V31" s="24"/>
      <c r="W31" s="24"/>
    </row>
    <row r="32" ht="37.5" customHeight="1">
      <c r="A32" s="24"/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24"/>
      <c r="W32" s="24"/>
    </row>
    <row r="33" ht="37.5" customHeight="1">
      <c r="A33" s="24"/>
      <c r="B33" s="21" t="str">
        <f>IFERROR(__xludf.DUMMYFUNCTION("IMPORTRANGE(""https://docs.google.com/spreadsheets/d/17TnzcKnlaqlAyM_3lnNpgK5CAOPbscCCRVH50X8UulY/edit?usp=sharing"",""APRIL!B28"")"),"TANGGAL : 6-11 APRIL 2026")</f>
        <v>TANGGAL : 6-11 APRIL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IFERROR(__xludf.DUMMYFUNCTION("IMPORTRANGE(""https://docs.google.com/spreadsheets/d/17TnzcKnlaqlAyM_3lnNpgK5CAOPbscCCRVH50X8UulY/edit?usp=sharing"",""APRIL!B29:D48"")"),"EPUL")</f>
        <v>EPUL</v>
      </c>
      <c r="D34" s="27" t="str">
        <f>IFERROR(__xludf.DUMMYFUNCTION("""COMPUTED_VALUE"""),"KEPALA")</f>
        <v>KEPALA</v>
      </c>
      <c r="E34" s="28"/>
      <c r="F34" s="52">
        <f>IFERROR(__xludf.DUMMYFUNCTION("IMPORTRANGE(""https://docs.google.com/spreadsheets/d/17TnzcKnlaqlAyM_3lnNpgK5CAOPbscCCRVH50X8UulY/edit?usp=sharing"",""APRIL!K29:K47"")"),6.0)</f>
        <v>6</v>
      </c>
      <c r="G34" s="30">
        <v>110000.0</v>
      </c>
      <c r="H34" s="31">
        <f t="shared" ref="H34:H55" si="9">F34*G34</f>
        <v>660000</v>
      </c>
      <c r="I34" s="31">
        <f t="shared" ref="I34:I55" si="10">F34*10000</f>
        <v>60000</v>
      </c>
      <c r="J34" s="32" t="str">
        <f t="shared" ref="J34:J55" si="11">IF(E34="SHIFT 2",I34,"")</f>
        <v/>
      </c>
      <c r="K34" s="32"/>
      <c r="L34" s="33">
        <f t="shared" ref="L34:L55" si="12">U34*$L$33</f>
        <v>0</v>
      </c>
      <c r="M34" s="32"/>
      <c r="N34" s="32"/>
      <c r="O34" s="34">
        <f t="shared" ref="O34:O55" si="13">SUM(H34:N34)</f>
        <v>720000</v>
      </c>
      <c r="P34" s="44"/>
      <c r="Q34" s="44"/>
      <c r="R34" s="37">
        <f t="shared" ref="R34:R55" si="14">SUM(P34:Q34)</f>
        <v>0</v>
      </c>
      <c r="S34" s="38">
        <f t="shared" ref="S34:S55" si="15">O34-R34</f>
        <v>720000</v>
      </c>
      <c r="T34" s="39" t="str">
        <f>IFERROR(__xludf.DUMMYFUNCTION("IMPORTRANGE(""https://docs.google.com/spreadsheets/d/17TnzcKnlaqlAyM_3lnNpgK5CAOPbscCCRVH50X8UulY/edit?usp=sharing"",""APRIL!L29:L48"")"),"")</f>
        <v/>
      </c>
      <c r="U34" s="42">
        <f>IFERROR(__xludf.DUMMYFUNCTION("IMPORTRANGE(""https://docs.google.com/spreadsheets/d/17TnzcKnlaqlAyM_3lnNpgK5CAOPbscCCRVH50X8UulY/edit?usp=sharing"",""APRIL!U29:U48"")"),0.0)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/>
      <c r="F35" s="52">
        <f>IFERROR(__xludf.DUMMYFUNCTION("""COMPUTED_VALUE"""),6.0)</f>
        <v>6</v>
      </c>
      <c r="G35" s="30">
        <v>70000.0</v>
      </c>
      <c r="H35" s="31">
        <f t="shared" si="9"/>
        <v>420000</v>
      </c>
      <c r="I35" s="31">
        <f t="shared" si="10"/>
        <v>60000</v>
      </c>
      <c r="J35" s="32" t="str">
        <f t="shared" si="11"/>
        <v/>
      </c>
      <c r="K35" s="41"/>
      <c r="L35" s="33">
        <f t="shared" si="12"/>
        <v>0</v>
      </c>
      <c r="M35" s="41"/>
      <c r="N35" s="41"/>
      <c r="O35" s="34">
        <f t="shared" si="13"/>
        <v>480000</v>
      </c>
      <c r="P35" s="44"/>
      <c r="Q35" s="44"/>
      <c r="R35" s="37">
        <f t="shared" si="14"/>
        <v>0</v>
      </c>
      <c r="S35" s="38">
        <f t="shared" si="15"/>
        <v>480000</v>
      </c>
      <c r="T35" s="39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/>
      <c r="D36" s="27" t="str">
        <f>IFERROR(__xludf.DUMMYFUNCTION("""COMPUTED_VALUE"""),"ADMIN")</f>
        <v>ADMIN</v>
      </c>
      <c r="E36" s="28"/>
      <c r="F36" s="52">
        <f>IFERROR(__xludf.DUMMYFUNCTION("""COMPUTED_VALUE"""),0.0)</f>
        <v>0</v>
      </c>
      <c r="G36" s="30">
        <v>70000.0</v>
      </c>
      <c r="H36" s="31">
        <f t="shared" si="9"/>
        <v>0</v>
      </c>
      <c r="I36" s="31">
        <f t="shared" si="10"/>
        <v>0</v>
      </c>
      <c r="J36" s="32" t="str">
        <f t="shared" si="11"/>
        <v/>
      </c>
      <c r="K36" s="41"/>
      <c r="L36" s="33">
        <f t="shared" si="12"/>
        <v>0</v>
      </c>
      <c r="M36" s="41"/>
      <c r="N36" s="41"/>
      <c r="O36" s="34">
        <f t="shared" si="13"/>
        <v>0</v>
      </c>
      <c r="P36" s="44"/>
      <c r="Q36" s="44"/>
      <c r="R36" s="37">
        <f t="shared" si="14"/>
        <v>0</v>
      </c>
      <c r="S36" s="38">
        <f t="shared" si="15"/>
        <v>0</v>
      </c>
      <c r="T36" s="39"/>
      <c r="U36" s="42">
        <f>IFERROR(__xludf.DUMMYFUNCTION("""COMPUTED_VALUE"""),0.0)</f>
        <v>0</v>
      </c>
      <c r="V36" s="24"/>
      <c r="W36" s="24"/>
    </row>
    <row r="37" ht="37.5" customHeight="1">
      <c r="B37" s="25">
        <v>4.0</v>
      </c>
      <c r="C37" s="26" t="str">
        <f>IFERROR(__xludf.DUMMYFUNCTION("""COMPUTED_VALUE"""),"ANDRI")</f>
        <v>ANDRI</v>
      </c>
      <c r="D37" s="27" t="str">
        <f>IFERROR(__xludf.DUMMYFUNCTION("""COMPUTED_VALUE"""),"DESIGN BORDIR")</f>
        <v>DESIGN BORDIR</v>
      </c>
      <c r="E37" s="28"/>
      <c r="F37" s="52">
        <f>IFERROR(__xludf.DUMMYFUNCTION("""COMPUTED_VALUE"""),6.0)</f>
        <v>6</v>
      </c>
      <c r="G37" s="30">
        <v>70000.0</v>
      </c>
      <c r="H37" s="31">
        <f t="shared" si="9"/>
        <v>420000</v>
      </c>
      <c r="I37" s="31">
        <f t="shared" si="10"/>
        <v>60000</v>
      </c>
      <c r="J37" s="32" t="str">
        <f t="shared" si="11"/>
        <v/>
      </c>
      <c r="K37" s="32"/>
      <c r="L37" s="33">
        <f t="shared" si="12"/>
        <v>0</v>
      </c>
      <c r="M37" s="32"/>
      <c r="N37" s="32"/>
      <c r="O37" s="34">
        <f t="shared" si="13"/>
        <v>480000</v>
      </c>
      <c r="P37" s="127"/>
      <c r="Q37" s="44"/>
      <c r="R37" s="37">
        <f t="shared" si="14"/>
        <v>0</v>
      </c>
      <c r="S37" s="38">
        <f t="shared" si="15"/>
        <v>480000</v>
      </c>
      <c r="T37" s="39"/>
      <c r="U37" s="42">
        <f>IFERROR(__xludf.DUMMYFUNCTION("""COMPUTED_VALUE"""),0.0)</f>
        <v>0</v>
      </c>
    </row>
    <row r="38" ht="37.5" customHeight="1">
      <c r="A38" s="24"/>
      <c r="B38" s="25">
        <v>5.0</v>
      </c>
      <c r="C38" s="26" t="str">
        <f>IFERROR(__xludf.DUMMYFUNCTION("""COMPUTED_VALUE"""),"ADIT")</f>
        <v>ADIT</v>
      </c>
      <c r="D38" s="27" t="str">
        <f>IFERROR(__xludf.DUMMYFUNCTION("""COMPUTED_VALUE"""),"CREATOR")</f>
        <v>CREATOR</v>
      </c>
      <c r="E38" s="28"/>
      <c r="F38" s="52">
        <f>IFERROR(__xludf.DUMMYFUNCTION("""COMPUTED_VALUE"""),5.0)</f>
        <v>5</v>
      </c>
      <c r="G38" s="30">
        <v>50000.0</v>
      </c>
      <c r="H38" s="31">
        <f t="shared" si="9"/>
        <v>250000</v>
      </c>
      <c r="I38" s="31">
        <f t="shared" si="10"/>
        <v>50000</v>
      </c>
      <c r="J38" s="32" t="str">
        <f t="shared" si="11"/>
        <v/>
      </c>
      <c r="K38" s="32"/>
      <c r="L38" s="33">
        <f t="shared" si="12"/>
        <v>0</v>
      </c>
      <c r="M38" s="32"/>
      <c r="N38" s="32"/>
      <c r="O38" s="34">
        <f t="shared" si="13"/>
        <v>300000</v>
      </c>
      <c r="P38" s="44"/>
      <c r="Q38" s="44"/>
      <c r="R38" s="37">
        <f t="shared" si="14"/>
        <v>0</v>
      </c>
      <c r="S38" s="38">
        <f t="shared" si="15"/>
        <v>300000</v>
      </c>
      <c r="T38" s="39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/>
      <c r="F39" s="52">
        <f>IFERROR(__xludf.DUMMYFUNCTION("""COMPUTED_VALUE"""),6.0)</f>
        <v>6</v>
      </c>
      <c r="G39" s="30">
        <v>70000.0</v>
      </c>
      <c r="H39" s="31">
        <f t="shared" si="9"/>
        <v>420000</v>
      </c>
      <c r="I39" s="31">
        <f t="shared" si="10"/>
        <v>60000</v>
      </c>
      <c r="J39" s="32" t="str">
        <f t="shared" si="11"/>
        <v/>
      </c>
      <c r="K39" s="32"/>
      <c r="L39" s="33">
        <f t="shared" si="12"/>
        <v>0</v>
      </c>
      <c r="M39" s="32"/>
      <c r="N39" s="32"/>
      <c r="O39" s="34">
        <f t="shared" si="13"/>
        <v>480000</v>
      </c>
      <c r="P39" s="127"/>
      <c r="Q39" s="44"/>
      <c r="R39" s="37">
        <f t="shared" si="14"/>
        <v>0</v>
      </c>
      <c r="S39" s="38">
        <f t="shared" si="15"/>
        <v>480000</v>
      </c>
      <c r="T39" s="39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/>
      <c r="F40" s="52">
        <f>IFERROR(__xludf.DUMMYFUNCTION("""COMPUTED_VALUE"""),6.0)</f>
        <v>6</v>
      </c>
      <c r="G40" s="30">
        <v>70000.0</v>
      </c>
      <c r="H40" s="31">
        <f t="shared" si="9"/>
        <v>420000</v>
      </c>
      <c r="I40" s="31">
        <f t="shared" si="10"/>
        <v>60000</v>
      </c>
      <c r="J40" s="32" t="str">
        <f t="shared" si="11"/>
        <v/>
      </c>
      <c r="K40" s="32"/>
      <c r="L40" s="33">
        <f t="shared" si="12"/>
        <v>0</v>
      </c>
      <c r="M40" s="32"/>
      <c r="N40" s="32"/>
      <c r="O40" s="34">
        <f t="shared" si="13"/>
        <v>480000</v>
      </c>
      <c r="P40" s="44"/>
      <c r="Q40" s="44"/>
      <c r="R40" s="37">
        <f t="shared" si="14"/>
        <v>0</v>
      </c>
      <c r="S40" s="38">
        <f t="shared" si="15"/>
        <v>480000</v>
      </c>
      <c r="T40" s="39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/>
      <c r="F41" s="52">
        <f>IFERROR(__xludf.DUMMYFUNCTION("""COMPUTED_VALUE"""),6.0)</f>
        <v>6</v>
      </c>
      <c r="G41" s="30">
        <v>50000.0</v>
      </c>
      <c r="H41" s="31">
        <f t="shared" si="9"/>
        <v>300000</v>
      </c>
      <c r="I41" s="31">
        <f t="shared" si="10"/>
        <v>60000</v>
      </c>
      <c r="J41" s="32" t="str">
        <f t="shared" si="11"/>
        <v/>
      </c>
      <c r="K41" s="32"/>
      <c r="L41" s="33">
        <f t="shared" si="12"/>
        <v>0</v>
      </c>
      <c r="M41" s="32"/>
      <c r="N41" s="32"/>
      <c r="O41" s="34">
        <f t="shared" si="13"/>
        <v>360000</v>
      </c>
      <c r="P41" s="44"/>
      <c r="Q41" s="44"/>
      <c r="R41" s="37">
        <f t="shared" si="14"/>
        <v>0</v>
      </c>
      <c r="S41" s="38">
        <f t="shared" si="15"/>
        <v>360000</v>
      </c>
      <c r="T41" s="39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/>
      <c r="F42" s="52">
        <f>IFERROR(__xludf.DUMMYFUNCTION("""COMPUTED_VALUE"""),3.0)</f>
        <v>3</v>
      </c>
      <c r="G42" s="30">
        <v>50000.0</v>
      </c>
      <c r="H42" s="31">
        <f t="shared" si="9"/>
        <v>150000</v>
      </c>
      <c r="I42" s="31">
        <f t="shared" si="10"/>
        <v>30000</v>
      </c>
      <c r="J42" s="32" t="str">
        <f t="shared" si="11"/>
        <v/>
      </c>
      <c r="K42" s="32"/>
      <c r="L42" s="33">
        <f t="shared" si="12"/>
        <v>0</v>
      </c>
      <c r="M42" s="32"/>
      <c r="N42" s="32"/>
      <c r="O42" s="34">
        <f t="shared" si="13"/>
        <v>180000</v>
      </c>
      <c r="P42" s="44"/>
      <c r="Q42" s="44"/>
      <c r="R42" s="37">
        <f t="shared" si="14"/>
        <v>0</v>
      </c>
      <c r="S42" s="38">
        <f t="shared" si="15"/>
        <v>180000</v>
      </c>
      <c r="T42" s="39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26" t="str">
        <f>IFERROR(__xludf.DUMMYFUNCTION("""COMPUTED_VALUE"""),"IIS")</f>
        <v>IIS</v>
      </c>
      <c r="D43" s="27" t="str">
        <f>IFERROR(__xludf.DUMMYFUNCTION("""COMPUTED_VALUE"""),"PACKING")</f>
        <v>PACKING</v>
      </c>
      <c r="E43" s="51"/>
      <c r="F43" s="52">
        <f>IFERROR(__xludf.DUMMYFUNCTION("""COMPUTED_VALUE"""),6.0)</f>
        <v>6</v>
      </c>
      <c r="G43" s="30">
        <v>70000.0</v>
      </c>
      <c r="H43" s="31">
        <f t="shared" si="9"/>
        <v>420000</v>
      </c>
      <c r="I43" s="31">
        <f t="shared" si="10"/>
        <v>60000</v>
      </c>
      <c r="J43" s="32" t="str">
        <f t="shared" si="11"/>
        <v/>
      </c>
      <c r="K43" s="32"/>
      <c r="L43" s="33">
        <f t="shared" si="12"/>
        <v>0</v>
      </c>
      <c r="M43" s="32"/>
      <c r="N43" s="32"/>
      <c r="O43" s="34">
        <f t="shared" si="13"/>
        <v>480000</v>
      </c>
      <c r="P43" s="44"/>
      <c r="Q43" s="44"/>
      <c r="R43" s="37">
        <f t="shared" si="14"/>
        <v>0</v>
      </c>
      <c r="S43" s="38">
        <f t="shared" si="15"/>
        <v>480000</v>
      </c>
      <c r="T43" s="39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9"/>
        <v>0</v>
      </c>
      <c r="I44" s="31">
        <f t="shared" si="10"/>
        <v>0</v>
      </c>
      <c r="J44" s="32" t="str">
        <f t="shared" si="11"/>
        <v/>
      </c>
      <c r="K44" s="32"/>
      <c r="L44" s="33">
        <f t="shared" si="12"/>
        <v>0</v>
      </c>
      <c r="M44" s="32"/>
      <c r="N44" s="32"/>
      <c r="O44" s="34">
        <f t="shared" si="13"/>
        <v>0</v>
      </c>
      <c r="P44" s="44"/>
      <c r="Q44" s="44"/>
      <c r="R44" s="37">
        <f t="shared" si="14"/>
        <v>0</v>
      </c>
      <c r="S44" s="38">
        <f t="shared" si="15"/>
        <v>0</v>
      </c>
      <c r="T44" s="39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49"/>
      <c r="D45" s="50"/>
      <c r="E45" s="51"/>
      <c r="F45" s="52">
        <f>IFERROR(__xludf.DUMMYFUNCTION("""COMPUTED_VALUE"""),0.0)</f>
        <v>0</v>
      </c>
      <c r="G45" s="45"/>
      <c r="H45" s="31">
        <f t="shared" si="9"/>
        <v>0</v>
      </c>
      <c r="I45" s="31">
        <f t="shared" si="10"/>
        <v>0</v>
      </c>
      <c r="J45" s="32" t="str">
        <f t="shared" si="11"/>
        <v/>
      </c>
      <c r="K45" s="32"/>
      <c r="L45" s="33">
        <f t="shared" si="12"/>
        <v>0</v>
      </c>
      <c r="M45" s="32"/>
      <c r="N45" s="32"/>
      <c r="O45" s="34">
        <f t="shared" si="13"/>
        <v>0</v>
      </c>
      <c r="P45" s="44"/>
      <c r="Q45" s="44"/>
      <c r="R45" s="37">
        <f t="shared" si="14"/>
        <v>0</v>
      </c>
      <c r="S45" s="38">
        <f t="shared" si="15"/>
        <v>0</v>
      </c>
      <c r="T45" s="39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9"/>
        <v>0</v>
      </c>
      <c r="I46" s="31">
        <f t="shared" si="10"/>
        <v>0</v>
      </c>
      <c r="J46" s="32" t="str">
        <f t="shared" si="11"/>
        <v/>
      </c>
      <c r="K46" s="32"/>
      <c r="L46" s="33">
        <f t="shared" si="12"/>
        <v>0</v>
      </c>
      <c r="M46" s="32"/>
      <c r="N46" s="32"/>
      <c r="O46" s="34">
        <f t="shared" si="13"/>
        <v>0</v>
      </c>
      <c r="P46" s="44"/>
      <c r="Q46" s="44"/>
      <c r="R46" s="37">
        <f t="shared" si="14"/>
        <v>0</v>
      </c>
      <c r="S46" s="38">
        <f t="shared" si="15"/>
        <v>0</v>
      </c>
      <c r="T46" s="39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9"/>
        <v>0</v>
      </c>
      <c r="I47" s="31">
        <f t="shared" si="10"/>
        <v>0</v>
      </c>
      <c r="J47" s="32" t="str">
        <f t="shared" si="11"/>
        <v/>
      </c>
      <c r="K47" s="32"/>
      <c r="L47" s="33">
        <f t="shared" si="12"/>
        <v>0</v>
      </c>
      <c r="M47" s="32"/>
      <c r="N47" s="32"/>
      <c r="O47" s="34">
        <f t="shared" si="13"/>
        <v>0</v>
      </c>
      <c r="P47" s="44"/>
      <c r="Q47" s="44"/>
      <c r="R47" s="37">
        <f t="shared" si="14"/>
        <v>0</v>
      </c>
      <c r="S47" s="38">
        <f t="shared" si="15"/>
        <v>0</v>
      </c>
      <c r="T47" s="39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9"/>
        <v>0</v>
      </c>
      <c r="I48" s="31">
        <f t="shared" si="10"/>
        <v>0</v>
      </c>
      <c r="J48" s="32" t="str">
        <f t="shared" si="11"/>
        <v/>
      </c>
      <c r="K48" s="32"/>
      <c r="L48" s="33">
        <f t="shared" si="12"/>
        <v>0</v>
      </c>
      <c r="M48" s="32"/>
      <c r="N48" s="32"/>
      <c r="O48" s="34">
        <f t="shared" si="13"/>
        <v>0</v>
      </c>
      <c r="P48" s="44"/>
      <c r="Q48" s="44"/>
      <c r="R48" s="37">
        <f t="shared" si="14"/>
        <v>0</v>
      </c>
      <c r="S48" s="38">
        <f t="shared" si="15"/>
        <v>0</v>
      </c>
      <c r="T48" s="39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9"/>
        <v>0</v>
      </c>
      <c r="I49" s="31">
        <f t="shared" si="10"/>
        <v>0</v>
      </c>
      <c r="J49" s="32" t="str">
        <f t="shared" si="11"/>
        <v/>
      </c>
      <c r="K49" s="32"/>
      <c r="L49" s="33">
        <f t="shared" si="12"/>
        <v>0</v>
      </c>
      <c r="M49" s="32"/>
      <c r="N49" s="32"/>
      <c r="O49" s="34">
        <f t="shared" si="13"/>
        <v>0</v>
      </c>
      <c r="P49" s="44"/>
      <c r="Q49" s="44"/>
      <c r="R49" s="37">
        <f t="shared" si="14"/>
        <v>0</v>
      </c>
      <c r="S49" s="38">
        <f t="shared" si="15"/>
        <v>0</v>
      </c>
      <c r="T49" s="39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9"/>
        <v>0</v>
      </c>
      <c r="I50" s="31">
        <f t="shared" si="10"/>
        <v>0</v>
      </c>
      <c r="J50" s="32" t="str">
        <f t="shared" si="11"/>
        <v/>
      </c>
      <c r="K50" s="32"/>
      <c r="L50" s="33">
        <f t="shared" si="12"/>
        <v>0</v>
      </c>
      <c r="M50" s="32"/>
      <c r="N50" s="32"/>
      <c r="O50" s="34">
        <f t="shared" si="13"/>
        <v>0</v>
      </c>
      <c r="P50" s="44"/>
      <c r="Q50" s="44"/>
      <c r="R50" s="37">
        <f t="shared" si="14"/>
        <v>0</v>
      </c>
      <c r="S50" s="38">
        <f t="shared" si="15"/>
        <v>0</v>
      </c>
      <c r="T50" s="39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9"/>
        <v>0</v>
      </c>
      <c r="I51" s="31">
        <f t="shared" si="10"/>
        <v>0</v>
      </c>
      <c r="J51" s="32" t="str">
        <f t="shared" si="11"/>
        <v/>
      </c>
      <c r="K51" s="32"/>
      <c r="L51" s="33">
        <f t="shared" si="12"/>
        <v>0</v>
      </c>
      <c r="M51" s="32"/>
      <c r="N51" s="32"/>
      <c r="O51" s="34">
        <f t="shared" si="13"/>
        <v>0</v>
      </c>
      <c r="P51" s="44"/>
      <c r="Q51" s="44"/>
      <c r="R51" s="37">
        <f t="shared" si="14"/>
        <v>0</v>
      </c>
      <c r="S51" s="38">
        <f t="shared" si="15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9"/>
        <v>0</v>
      </c>
      <c r="I52" s="31">
        <f t="shared" si="10"/>
        <v>0</v>
      </c>
      <c r="J52" s="32" t="str">
        <f t="shared" si="11"/>
        <v/>
      </c>
      <c r="K52" s="32"/>
      <c r="L52" s="33">
        <f t="shared" si="12"/>
        <v>0</v>
      </c>
      <c r="M52" s="32"/>
      <c r="N52" s="32"/>
      <c r="O52" s="34">
        <f t="shared" si="13"/>
        <v>0</v>
      </c>
      <c r="P52" s="44"/>
      <c r="Q52" s="44"/>
      <c r="R52" s="37">
        <f t="shared" si="14"/>
        <v>0</v>
      </c>
      <c r="S52" s="38">
        <f t="shared" si="15"/>
        <v>0</v>
      </c>
      <c r="T52" s="51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9"/>
        <v>0</v>
      </c>
      <c r="I53" s="31">
        <f t="shared" si="10"/>
        <v>0</v>
      </c>
      <c r="J53" s="32" t="str">
        <f t="shared" si="11"/>
        <v/>
      </c>
      <c r="K53" s="32"/>
      <c r="L53" s="33">
        <f t="shared" si="12"/>
        <v>0</v>
      </c>
      <c r="M53" s="32"/>
      <c r="N53" s="32"/>
      <c r="O53" s="34">
        <f t="shared" si="13"/>
        <v>0</v>
      </c>
      <c r="P53" s="44"/>
      <c r="Q53" s="44"/>
      <c r="R53" s="37">
        <f t="shared" si="14"/>
        <v>0</v>
      </c>
      <c r="S53" s="38">
        <f t="shared" si="15"/>
        <v>0</v>
      </c>
      <c r="T53" s="51"/>
      <c r="U53" s="42">
        <f>IFERROR(__xludf.DUMMYFUNCTION("""COMPUTED_VALUE"""),0.0)</f>
        <v>0</v>
      </c>
      <c r="V53" s="24"/>
      <c r="W53" s="24"/>
    </row>
    <row r="54" ht="37.5" customHeight="1">
      <c r="A54" s="24"/>
      <c r="B54" s="25">
        <v>21.0</v>
      </c>
      <c r="C54" s="49"/>
      <c r="D54" s="51"/>
      <c r="E54" s="51"/>
      <c r="F54" s="42"/>
      <c r="G54" s="53"/>
      <c r="H54" s="31">
        <f t="shared" si="9"/>
        <v>0</v>
      </c>
      <c r="I54" s="31">
        <f t="shared" si="10"/>
        <v>0</v>
      </c>
      <c r="J54" s="32" t="str">
        <f t="shared" si="11"/>
        <v/>
      </c>
      <c r="K54" s="32"/>
      <c r="L54" s="33">
        <f t="shared" si="12"/>
        <v>0</v>
      </c>
      <c r="M54" s="32"/>
      <c r="N54" s="32"/>
      <c r="O54" s="34">
        <f t="shared" si="13"/>
        <v>0</v>
      </c>
      <c r="P54" s="44"/>
      <c r="Q54" s="44"/>
      <c r="R54" s="37">
        <f t="shared" si="14"/>
        <v>0</v>
      </c>
      <c r="S54" s="38">
        <f t="shared" si="15"/>
        <v>0</v>
      </c>
      <c r="T54" s="51"/>
      <c r="U54" s="42"/>
      <c r="V54" s="24"/>
      <c r="W54" s="24"/>
    </row>
    <row r="55" ht="37.5" customHeight="1">
      <c r="A55" s="24"/>
      <c r="B55" s="25">
        <v>22.0</v>
      </c>
      <c r="C55" s="49"/>
      <c r="D55" s="51"/>
      <c r="E55" s="51"/>
      <c r="F55" s="42"/>
      <c r="G55" s="53"/>
      <c r="H55" s="31">
        <f t="shared" si="9"/>
        <v>0</v>
      </c>
      <c r="I55" s="31">
        <f t="shared" si="10"/>
        <v>0</v>
      </c>
      <c r="J55" s="32" t="str">
        <f t="shared" si="11"/>
        <v/>
      </c>
      <c r="K55" s="32"/>
      <c r="L55" s="33">
        <f t="shared" si="12"/>
        <v>0</v>
      </c>
      <c r="M55" s="32"/>
      <c r="N55" s="32"/>
      <c r="O55" s="34">
        <f t="shared" si="13"/>
        <v>0</v>
      </c>
      <c r="P55" s="44"/>
      <c r="Q55" s="44"/>
      <c r="R55" s="37">
        <f t="shared" si="14"/>
        <v>0</v>
      </c>
      <c r="S55" s="38">
        <f t="shared" si="15"/>
        <v>0</v>
      </c>
      <c r="T55" s="51"/>
      <c r="U55" s="42"/>
      <c r="V55" s="24"/>
      <c r="W55" s="24"/>
    </row>
    <row r="56" ht="37.5" customHeight="1">
      <c r="A56" s="24"/>
      <c r="B56" s="54"/>
      <c r="F56" s="55" t="s">
        <v>21</v>
      </c>
      <c r="S56" s="56">
        <f>SUM(S34:S55)</f>
        <v>3960000</v>
      </c>
      <c r="T56" s="57"/>
      <c r="U56" s="58"/>
      <c r="V56" s="24"/>
      <c r="W56" s="24"/>
    </row>
    <row r="57" ht="37.5" customHeight="1">
      <c r="A57" s="24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24"/>
      <c r="W57" s="24"/>
    </row>
    <row r="58" ht="37.5" customHeight="1">
      <c r="A58" s="24"/>
      <c r="B58" s="21" t="str">
        <f>IFERROR(__xludf.DUMMYFUNCTION("IMPORTRANGE(""https://docs.google.com/spreadsheets/d/17TnzcKnlaqlAyM_3lnNpgK5CAOPbscCCRVH50X8UulY/edit?usp=sharing"",""APRIL!B50"")"),"TANGGAL : 13-18 APRIL 2026")</f>
        <v>TANGGAL : 13-18 APRIL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  <c r="V58" s="24"/>
      <c r="W58" s="24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IFERROR(__xludf.DUMMYFUNCTION("IMPORTRANGE(""https://docs.google.com/spreadsheets/d/17TnzcKnlaqlAyM_3lnNpgK5CAOPbscCCRVH50X8UulY/edit?usp=sharing"",""APRIL!B51:D70"")"),"EPUL")</f>
        <v>EPUL</v>
      </c>
      <c r="D59" s="27" t="str">
        <f>IFERROR(__xludf.DUMMYFUNCTION("""COMPUTED_VALUE"""),"KEPALA")</f>
        <v>KEPALA</v>
      </c>
      <c r="E59" s="28"/>
      <c r="F59" s="52">
        <f>IFERROR(__xludf.DUMMYFUNCTION("IMPORTRANGE(""https://docs.google.com/spreadsheets/d/17TnzcKnlaqlAyM_3lnNpgK5CAOPbscCCRVH50X8UulY/edit?usp=sharing"",""APRIL!K51:K69"")"),6.0)</f>
        <v>6</v>
      </c>
      <c r="G59" s="30">
        <v>110000.0</v>
      </c>
      <c r="H59" s="31">
        <f t="shared" ref="H59:H80" si="16">F59*G59</f>
        <v>660000</v>
      </c>
      <c r="I59" s="31">
        <f t="shared" ref="I59:I80" si="17">F59*10000</f>
        <v>60000</v>
      </c>
      <c r="J59" s="32" t="str">
        <f t="shared" ref="J59:J80" si="18">IF(E59="SHIFT 2",I59,"")</f>
        <v/>
      </c>
      <c r="K59" s="32"/>
      <c r="L59" s="33">
        <f t="shared" ref="L59:L80" si="19">U59*$L$58</f>
        <v>0</v>
      </c>
      <c r="M59" s="32"/>
      <c r="N59" s="32"/>
      <c r="O59" s="34">
        <f t="shared" ref="O59:O80" si="20">SUM(H59:N59)</f>
        <v>720000</v>
      </c>
      <c r="P59" s="44"/>
      <c r="Q59" s="44"/>
      <c r="R59" s="37">
        <f t="shared" ref="R59:R80" si="21">SUM(P59:Q59)</f>
        <v>0</v>
      </c>
      <c r="S59" s="38">
        <f t="shared" ref="S59:S80" si="22">O59-R59</f>
        <v>720000</v>
      </c>
      <c r="T59" s="39" t="str">
        <f>IFERROR(__xludf.DUMMYFUNCTION("IMPORTRANGE(""https://docs.google.com/spreadsheets/d/17TnzcKnlaqlAyM_3lnNpgK5CAOPbscCCRVH50X8UulY/edit?usp=sharing"",""APRIL!L51:L70"")"),"")</f>
        <v/>
      </c>
      <c r="U59" s="42">
        <f>IFERROR(__xludf.DUMMYFUNCTION("IMPORTRANGE(""https://docs.google.com/spreadsheets/d/17TnzcKnlaqlAyM_3lnNpgK5CAOPbscCCRVH50X8UulY/edit?usp=sharing"",""APRIL!U51:U70"")"),0.0)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/>
      <c r="F60" s="52">
        <f>IFERROR(__xludf.DUMMYFUNCTION("""COMPUTED_VALUE"""),6.0)</f>
        <v>6</v>
      </c>
      <c r="G60" s="30">
        <v>70000.0</v>
      </c>
      <c r="H60" s="31">
        <f t="shared" si="16"/>
        <v>420000</v>
      </c>
      <c r="I60" s="31">
        <f t="shared" si="17"/>
        <v>60000</v>
      </c>
      <c r="J60" s="32" t="str">
        <f t="shared" si="18"/>
        <v/>
      </c>
      <c r="K60" s="41"/>
      <c r="L60" s="33">
        <f t="shared" si="19"/>
        <v>0</v>
      </c>
      <c r="M60" s="41"/>
      <c r="N60" s="41"/>
      <c r="O60" s="34">
        <f t="shared" si="20"/>
        <v>480000</v>
      </c>
      <c r="P60" s="44"/>
      <c r="Q60" s="44"/>
      <c r="R60" s="37">
        <f t="shared" si="21"/>
        <v>0</v>
      </c>
      <c r="S60" s="38">
        <f t="shared" si="22"/>
        <v>480000</v>
      </c>
      <c r="T60" s="39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/>
      <c r="D61" s="27" t="str">
        <f>IFERROR(__xludf.DUMMYFUNCTION("""COMPUTED_VALUE"""),"ADMIN")</f>
        <v>ADMIN</v>
      </c>
      <c r="E61" s="28"/>
      <c r="F61" s="52">
        <f>IFERROR(__xludf.DUMMYFUNCTION("""COMPUTED_VALUE"""),0.0)</f>
        <v>0</v>
      </c>
      <c r="G61" s="30">
        <v>70000.0</v>
      </c>
      <c r="H61" s="31">
        <f t="shared" si="16"/>
        <v>0</v>
      </c>
      <c r="I61" s="31">
        <f t="shared" si="17"/>
        <v>0</v>
      </c>
      <c r="J61" s="32" t="str">
        <f t="shared" si="18"/>
        <v/>
      </c>
      <c r="K61" s="41"/>
      <c r="L61" s="33">
        <f t="shared" si="19"/>
        <v>0</v>
      </c>
      <c r="M61" s="41"/>
      <c r="N61" s="41"/>
      <c r="O61" s="34">
        <f t="shared" si="20"/>
        <v>0</v>
      </c>
      <c r="P61" s="44"/>
      <c r="Q61" s="44"/>
      <c r="R61" s="37">
        <f t="shared" si="21"/>
        <v>0</v>
      </c>
      <c r="S61" s="38">
        <f t="shared" si="22"/>
        <v>0</v>
      </c>
      <c r="T61" s="39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IFERROR(__xludf.DUMMYFUNCTION("""COMPUTED_VALUE"""),"ANDRI")</f>
        <v>ANDRI</v>
      </c>
      <c r="D62" s="27" t="str">
        <f>IFERROR(__xludf.DUMMYFUNCTION("""COMPUTED_VALUE"""),"DESIGN BORDIR")</f>
        <v>DESIGN BORDIR</v>
      </c>
      <c r="E62" s="28"/>
      <c r="F62" s="52">
        <f>IFERROR(__xludf.DUMMYFUNCTION("""COMPUTED_VALUE"""),6.0)</f>
        <v>6</v>
      </c>
      <c r="G62" s="30">
        <v>70000.0</v>
      </c>
      <c r="H62" s="31">
        <f t="shared" si="16"/>
        <v>420000</v>
      </c>
      <c r="I62" s="31">
        <f t="shared" si="17"/>
        <v>60000</v>
      </c>
      <c r="J62" s="32" t="str">
        <f t="shared" si="18"/>
        <v/>
      </c>
      <c r="K62" s="32"/>
      <c r="L62" s="33">
        <f t="shared" si="19"/>
        <v>0</v>
      </c>
      <c r="M62" s="32"/>
      <c r="N62" s="32"/>
      <c r="O62" s="34">
        <f t="shared" si="20"/>
        <v>480000</v>
      </c>
      <c r="P62" s="35"/>
      <c r="Q62" s="36"/>
      <c r="R62" s="37">
        <f t="shared" si="21"/>
        <v>0</v>
      </c>
      <c r="S62" s="38">
        <f t="shared" si="22"/>
        <v>480000</v>
      </c>
      <c r="T62" s="39"/>
      <c r="U62" s="42">
        <f>IFERROR(__xludf.DUMMYFUNCTION("""COMPUTED_VALUE"""),0.0)</f>
        <v>0</v>
      </c>
    </row>
    <row r="63" ht="37.5" customHeight="1">
      <c r="B63" s="25">
        <v>5.0</v>
      </c>
      <c r="C63" s="26" t="str">
        <f>IFERROR(__xludf.DUMMYFUNCTION("""COMPUTED_VALUE"""),"ADIT")</f>
        <v>ADIT</v>
      </c>
      <c r="D63" s="27" t="str">
        <f>IFERROR(__xludf.DUMMYFUNCTION("""COMPUTED_VALUE"""),"CREATOR")</f>
        <v>CREATOR</v>
      </c>
      <c r="E63" s="28"/>
      <c r="F63" s="52">
        <f>IFERROR(__xludf.DUMMYFUNCTION("""COMPUTED_VALUE"""),5.0)</f>
        <v>5</v>
      </c>
      <c r="G63" s="30">
        <v>50000.0</v>
      </c>
      <c r="H63" s="31">
        <f t="shared" si="16"/>
        <v>250000</v>
      </c>
      <c r="I63" s="31">
        <f t="shared" si="17"/>
        <v>50000</v>
      </c>
      <c r="J63" s="32" t="str">
        <f t="shared" si="18"/>
        <v/>
      </c>
      <c r="K63" s="32"/>
      <c r="L63" s="33">
        <f t="shared" si="19"/>
        <v>0</v>
      </c>
      <c r="M63" s="32"/>
      <c r="N63" s="32"/>
      <c r="O63" s="34">
        <f t="shared" si="20"/>
        <v>300000</v>
      </c>
      <c r="P63" s="36"/>
      <c r="Q63" s="36"/>
      <c r="R63" s="37">
        <f t="shared" si="21"/>
        <v>0</v>
      </c>
      <c r="S63" s="38">
        <f t="shared" si="22"/>
        <v>300000</v>
      </c>
      <c r="T63" s="39"/>
      <c r="U63" s="42">
        <f>IFERROR(__xludf.DUMMYFUNCTION("""COMPUTED_VALUE"""),0.0)</f>
        <v>0</v>
      </c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/>
      <c r="F64" s="52">
        <f>IFERROR(__xludf.DUMMYFUNCTION("""COMPUTED_VALUE"""),6.0)</f>
        <v>6</v>
      </c>
      <c r="G64" s="30">
        <v>70000.0</v>
      </c>
      <c r="H64" s="31">
        <f t="shared" si="16"/>
        <v>420000</v>
      </c>
      <c r="I64" s="31">
        <f t="shared" si="17"/>
        <v>60000</v>
      </c>
      <c r="J64" s="32" t="str">
        <f t="shared" si="18"/>
        <v/>
      </c>
      <c r="K64" s="32"/>
      <c r="L64" s="33">
        <f t="shared" si="19"/>
        <v>120000</v>
      </c>
      <c r="M64" s="32"/>
      <c r="N64" s="32"/>
      <c r="O64" s="34">
        <f t="shared" si="20"/>
        <v>600000</v>
      </c>
      <c r="P64" s="35"/>
      <c r="Q64" s="36"/>
      <c r="R64" s="37">
        <f t="shared" si="21"/>
        <v>0</v>
      </c>
      <c r="S64" s="38">
        <f t="shared" si="22"/>
        <v>600000</v>
      </c>
      <c r="T64" s="39"/>
      <c r="U64" s="42">
        <f>IFERROR(__xludf.DUMMYFUNCTION("""COMPUTED_VALUE"""),8.0)</f>
        <v>8</v>
      </c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/>
      <c r="F65" s="52">
        <f>IFERROR(__xludf.DUMMYFUNCTION("""COMPUTED_VALUE"""),6.0)</f>
        <v>6</v>
      </c>
      <c r="G65" s="30">
        <v>70000.0</v>
      </c>
      <c r="H65" s="31">
        <f t="shared" si="16"/>
        <v>420000</v>
      </c>
      <c r="I65" s="31">
        <f t="shared" si="17"/>
        <v>60000</v>
      </c>
      <c r="J65" s="32" t="str">
        <f t="shared" si="18"/>
        <v/>
      </c>
      <c r="K65" s="32"/>
      <c r="L65" s="33">
        <f t="shared" si="19"/>
        <v>120000</v>
      </c>
      <c r="M65" s="32"/>
      <c r="N65" s="32"/>
      <c r="O65" s="34">
        <f t="shared" si="20"/>
        <v>600000</v>
      </c>
      <c r="P65" s="36"/>
      <c r="Q65" s="36"/>
      <c r="R65" s="37">
        <f t="shared" si="21"/>
        <v>0</v>
      </c>
      <c r="S65" s="38">
        <f t="shared" si="22"/>
        <v>600000</v>
      </c>
      <c r="T65" s="39"/>
      <c r="U65" s="42">
        <f>IFERROR(__xludf.DUMMYFUNCTION("""COMPUTED_VALUE"""),8.0)</f>
        <v>8</v>
      </c>
      <c r="V65" s="63"/>
      <c r="W65" s="63"/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/>
      <c r="F66" s="52">
        <f>IFERROR(__xludf.DUMMYFUNCTION("""COMPUTED_VALUE"""),6.0)</f>
        <v>6</v>
      </c>
      <c r="G66" s="30">
        <v>50000.0</v>
      </c>
      <c r="H66" s="31">
        <f t="shared" si="16"/>
        <v>300000</v>
      </c>
      <c r="I66" s="31">
        <f t="shared" si="17"/>
        <v>60000</v>
      </c>
      <c r="J66" s="32" t="str">
        <f t="shared" si="18"/>
        <v/>
      </c>
      <c r="K66" s="32"/>
      <c r="L66" s="33">
        <f t="shared" si="19"/>
        <v>0</v>
      </c>
      <c r="M66" s="32"/>
      <c r="N66" s="32"/>
      <c r="O66" s="34">
        <f t="shared" si="20"/>
        <v>360000</v>
      </c>
      <c r="P66" s="36"/>
      <c r="Q66" s="36"/>
      <c r="R66" s="37">
        <f t="shared" si="21"/>
        <v>0</v>
      </c>
      <c r="S66" s="38">
        <f t="shared" si="22"/>
        <v>360000</v>
      </c>
      <c r="T66" s="39"/>
      <c r="U66" s="42">
        <f>IFERROR(__xludf.DUMMYFUNCTION("""COMPUTED_VALUE"""),0.0)</f>
        <v>0</v>
      </c>
      <c r="V66" s="63"/>
      <c r="W66" s="63"/>
    </row>
    <row r="67" ht="37.5" customHeight="1">
      <c r="B67" s="25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/>
      <c r="F67" s="52">
        <f>IFERROR(__xludf.DUMMYFUNCTION("""COMPUTED_VALUE"""),6.0)</f>
        <v>6</v>
      </c>
      <c r="G67" s="30">
        <v>50000.0</v>
      </c>
      <c r="H67" s="31">
        <f t="shared" si="16"/>
        <v>300000</v>
      </c>
      <c r="I67" s="31">
        <f t="shared" si="17"/>
        <v>60000</v>
      </c>
      <c r="J67" s="32" t="str">
        <f t="shared" si="18"/>
        <v/>
      </c>
      <c r="K67" s="32"/>
      <c r="L67" s="33">
        <f t="shared" si="19"/>
        <v>0</v>
      </c>
      <c r="M67" s="32"/>
      <c r="N67" s="32"/>
      <c r="O67" s="34">
        <f t="shared" si="20"/>
        <v>360000</v>
      </c>
      <c r="P67" s="36"/>
      <c r="Q67" s="36"/>
      <c r="R67" s="37">
        <f t="shared" si="21"/>
        <v>0</v>
      </c>
      <c r="S67" s="38">
        <f t="shared" si="22"/>
        <v>360000</v>
      </c>
      <c r="T67" s="39"/>
      <c r="U67" s="42">
        <f>IFERROR(__xludf.DUMMYFUNCTION("""COMPUTED_VALUE"""),0.0)</f>
        <v>0</v>
      </c>
      <c r="V67" s="63"/>
      <c r="W67" s="63"/>
    </row>
    <row r="68" ht="37.5" customHeight="1">
      <c r="B68" s="25">
        <v>10.0</v>
      </c>
      <c r="C68" s="26" t="str">
        <f>IFERROR(__xludf.DUMMYFUNCTION("""COMPUTED_VALUE"""),"IIS")</f>
        <v>IIS</v>
      </c>
      <c r="D68" s="27" t="str">
        <f>IFERROR(__xludf.DUMMYFUNCTION("""COMPUTED_VALUE"""),"PACKING")</f>
        <v>PACKING</v>
      </c>
      <c r="E68" s="51"/>
      <c r="F68" s="52">
        <f>IFERROR(__xludf.DUMMYFUNCTION("""COMPUTED_VALUE"""),6.0)</f>
        <v>6</v>
      </c>
      <c r="G68" s="30">
        <v>70000.0</v>
      </c>
      <c r="H68" s="31">
        <f t="shared" si="16"/>
        <v>420000</v>
      </c>
      <c r="I68" s="31">
        <f t="shared" si="17"/>
        <v>60000</v>
      </c>
      <c r="J68" s="32" t="str">
        <f t="shared" si="18"/>
        <v/>
      </c>
      <c r="K68" s="32"/>
      <c r="L68" s="33">
        <f t="shared" si="19"/>
        <v>0</v>
      </c>
      <c r="M68" s="32"/>
      <c r="N68" s="32"/>
      <c r="O68" s="34">
        <f t="shared" si="20"/>
        <v>480000</v>
      </c>
      <c r="P68" s="36"/>
      <c r="Q68" s="36"/>
      <c r="R68" s="37">
        <f t="shared" si="21"/>
        <v>0</v>
      </c>
      <c r="S68" s="38">
        <f t="shared" si="22"/>
        <v>480000</v>
      </c>
      <c r="T68" s="39"/>
      <c r="U68" s="42">
        <f>IFERROR(__xludf.DUMMYFUNCTION("""COMPUTED_VALUE"""),0.0)</f>
        <v>0</v>
      </c>
      <c r="V68" s="63"/>
      <c r="W68" s="63"/>
    </row>
    <row r="69" ht="37.5" customHeight="1">
      <c r="B69" s="25">
        <v>11.0</v>
      </c>
      <c r="C69" s="26" t="str">
        <f>IFERROR(__xludf.DUMMYFUNCTION("""COMPUTED_VALUE"""),"BI MUMUN")</f>
        <v>BI MUMUN</v>
      </c>
      <c r="D69" s="27" t="str">
        <f>IFERROR(__xludf.DUMMYFUNCTION("""COMPUTED_VALUE"""),"PACKING")</f>
        <v>PACKING</v>
      </c>
      <c r="E69" s="51"/>
      <c r="F69" s="52">
        <f>IFERROR(__xludf.DUMMYFUNCTION("""COMPUTED_VALUE"""),0.0)</f>
        <v>0</v>
      </c>
      <c r="G69" s="30">
        <v>50000.0</v>
      </c>
      <c r="H69" s="31">
        <f t="shared" si="16"/>
        <v>0</v>
      </c>
      <c r="I69" s="31">
        <f t="shared" si="17"/>
        <v>0</v>
      </c>
      <c r="J69" s="32" t="str">
        <f t="shared" si="18"/>
        <v/>
      </c>
      <c r="K69" s="32"/>
      <c r="L69" s="33">
        <f t="shared" si="19"/>
        <v>0</v>
      </c>
      <c r="M69" s="32"/>
      <c r="N69" s="32"/>
      <c r="O69" s="34">
        <f t="shared" si="20"/>
        <v>0</v>
      </c>
      <c r="P69" s="36"/>
      <c r="Q69" s="36"/>
      <c r="R69" s="37">
        <f t="shared" si="21"/>
        <v>0</v>
      </c>
      <c r="S69" s="38">
        <f t="shared" si="22"/>
        <v>0</v>
      </c>
      <c r="T69" s="39"/>
      <c r="U69" s="42">
        <f>IFERROR(__xludf.DUMMYFUNCTION("""COMPUTED_VALUE"""),0.0)</f>
        <v>0</v>
      </c>
      <c r="V69" s="63"/>
      <c r="W69" s="63"/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6"/>
        <v>0</v>
      </c>
      <c r="I70" s="31">
        <f t="shared" si="17"/>
        <v>0</v>
      </c>
      <c r="J70" s="32" t="str">
        <f t="shared" si="18"/>
        <v/>
      </c>
      <c r="K70" s="32"/>
      <c r="L70" s="33">
        <f t="shared" si="19"/>
        <v>0</v>
      </c>
      <c r="M70" s="32"/>
      <c r="N70" s="32"/>
      <c r="O70" s="34">
        <f t="shared" si="20"/>
        <v>0</v>
      </c>
      <c r="P70" s="36"/>
      <c r="Q70" s="36"/>
      <c r="R70" s="37">
        <f t="shared" si="21"/>
        <v>0</v>
      </c>
      <c r="S70" s="38">
        <f t="shared" si="22"/>
        <v>0</v>
      </c>
      <c r="T70" s="39"/>
      <c r="U70" s="42">
        <f>IFERROR(__xludf.DUMMYFUNCTION("""COMPUTED_VALUE"""),0.0)</f>
        <v>0</v>
      </c>
    </row>
    <row r="71" ht="37.5" customHeight="1">
      <c r="B71" s="25">
        <v>13.0</v>
      </c>
      <c r="C71" s="49"/>
      <c r="D71" s="50"/>
      <c r="E71" s="51"/>
      <c r="F71" s="52">
        <f>IFERROR(__xludf.DUMMYFUNCTION("""COMPUTED_VALUE"""),0.0)</f>
        <v>0</v>
      </c>
      <c r="G71" s="45"/>
      <c r="H71" s="31">
        <f t="shared" si="16"/>
        <v>0</v>
      </c>
      <c r="I71" s="31">
        <f t="shared" si="17"/>
        <v>0</v>
      </c>
      <c r="J71" s="32" t="str">
        <f t="shared" si="18"/>
        <v/>
      </c>
      <c r="K71" s="32"/>
      <c r="L71" s="33">
        <f t="shared" si="19"/>
        <v>0</v>
      </c>
      <c r="M71" s="32"/>
      <c r="N71" s="32"/>
      <c r="O71" s="34">
        <f t="shared" si="20"/>
        <v>0</v>
      </c>
      <c r="P71" s="44"/>
      <c r="Q71" s="44"/>
      <c r="R71" s="37">
        <f t="shared" si="21"/>
        <v>0</v>
      </c>
      <c r="S71" s="38">
        <f t="shared" si="22"/>
        <v>0</v>
      </c>
      <c r="T71" s="39"/>
      <c r="U71" s="42">
        <f>IFERROR(__xludf.DUMMYFUNCTION("""COMPUTED_VALUE"""),0.0)</f>
        <v>0</v>
      </c>
    </row>
    <row r="72" ht="37.5" customHeight="1">
      <c r="B72" s="25">
        <v>14.0</v>
      </c>
      <c r="C72" s="49"/>
      <c r="D72" s="50"/>
      <c r="E72" s="51"/>
      <c r="F72" s="52">
        <f>IFERROR(__xludf.DUMMYFUNCTION("""COMPUTED_VALUE"""),0.0)</f>
        <v>0</v>
      </c>
      <c r="G72" s="45"/>
      <c r="H72" s="31">
        <f t="shared" si="16"/>
        <v>0</v>
      </c>
      <c r="I72" s="31">
        <f t="shared" si="17"/>
        <v>0</v>
      </c>
      <c r="J72" s="32" t="str">
        <f t="shared" si="18"/>
        <v/>
      </c>
      <c r="K72" s="32"/>
      <c r="L72" s="33">
        <f t="shared" si="19"/>
        <v>0</v>
      </c>
      <c r="M72" s="32"/>
      <c r="N72" s="32"/>
      <c r="O72" s="34">
        <f t="shared" si="20"/>
        <v>0</v>
      </c>
      <c r="P72" s="44"/>
      <c r="Q72" s="44"/>
      <c r="R72" s="37">
        <f t="shared" si="21"/>
        <v>0</v>
      </c>
      <c r="S72" s="38">
        <f t="shared" si="22"/>
        <v>0</v>
      </c>
      <c r="T72" s="39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6"/>
        <v>0</v>
      </c>
      <c r="I73" s="31">
        <f t="shared" si="17"/>
        <v>0</v>
      </c>
      <c r="J73" s="32" t="str">
        <f t="shared" si="18"/>
        <v/>
      </c>
      <c r="K73" s="32"/>
      <c r="L73" s="33">
        <f t="shared" si="19"/>
        <v>0</v>
      </c>
      <c r="M73" s="32"/>
      <c r="N73" s="32"/>
      <c r="O73" s="34">
        <f t="shared" si="20"/>
        <v>0</v>
      </c>
      <c r="P73" s="44"/>
      <c r="Q73" s="44"/>
      <c r="R73" s="37">
        <f t="shared" si="21"/>
        <v>0</v>
      </c>
      <c r="S73" s="38">
        <f t="shared" si="22"/>
        <v>0</v>
      </c>
      <c r="T73" s="39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6"/>
        <v>0</v>
      </c>
      <c r="I74" s="31">
        <f t="shared" si="17"/>
        <v>0</v>
      </c>
      <c r="J74" s="32" t="str">
        <f t="shared" si="18"/>
        <v/>
      </c>
      <c r="K74" s="32"/>
      <c r="L74" s="33">
        <f t="shared" si="19"/>
        <v>0</v>
      </c>
      <c r="M74" s="32"/>
      <c r="N74" s="32"/>
      <c r="O74" s="34">
        <f t="shared" si="20"/>
        <v>0</v>
      </c>
      <c r="P74" s="44"/>
      <c r="Q74" s="44"/>
      <c r="R74" s="37">
        <f t="shared" si="21"/>
        <v>0</v>
      </c>
      <c r="S74" s="38">
        <f t="shared" si="22"/>
        <v>0</v>
      </c>
      <c r="T74" s="39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6"/>
        <v>0</v>
      </c>
      <c r="I75" s="31">
        <f t="shared" si="17"/>
        <v>0</v>
      </c>
      <c r="J75" s="32" t="str">
        <f t="shared" si="18"/>
        <v/>
      </c>
      <c r="K75" s="32"/>
      <c r="L75" s="33">
        <f t="shared" si="19"/>
        <v>0</v>
      </c>
      <c r="M75" s="32"/>
      <c r="N75" s="32"/>
      <c r="O75" s="34">
        <f t="shared" si="20"/>
        <v>0</v>
      </c>
      <c r="P75" s="44"/>
      <c r="Q75" s="44"/>
      <c r="R75" s="37">
        <f t="shared" si="21"/>
        <v>0</v>
      </c>
      <c r="S75" s="38">
        <f t="shared" si="22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6"/>
        <v>0</v>
      </c>
      <c r="I76" s="31">
        <f t="shared" si="17"/>
        <v>0</v>
      </c>
      <c r="J76" s="32" t="str">
        <f t="shared" si="18"/>
        <v/>
      </c>
      <c r="K76" s="32"/>
      <c r="L76" s="33">
        <f t="shared" si="19"/>
        <v>0</v>
      </c>
      <c r="M76" s="32"/>
      <c r="N76" s="32"/>
      <c r="O76" s="34">
        <f t="shared" si="20"/>
        <v>0</v>
      </c>
      <c r="P76" s="44"/>
      <c r="Q76" s="44"/>
      <c r="R76" s="37">
        <f t="shared" si="21"/>
        <v>0</v>
      </c>
      <c r="S76" s="38">
        <f t="shared" si="22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6"/>
        <v>0</v>
      </c>
      <c r="I77" s="31">
        <f t="shared" si="17"/>
        <v>0</v>
      </c>
      <c r="J77" s="32" t="str">
        <f t="shared" si="18"/>
        <v/>
      </c>
      <c r="K77" s="32"/>
      <c r="L77" s="33">
        <f t="shared" si="19"/>
        <v>0</v>
      </c>
      <c r="M77" s="32"/>
      <c r="N77" s="32"/>
      <c r="O77" s="34">
        <f t="shared" si="20"/>
        <v>0</v>
      </c>
      <c r="P77" s="44"/>
      <c r="Q77" s="44"/>
      <c r="R77" s="37">
        <f t="shared" si="21"/>
        <v>0</v>
      </c>
      <c r="S77" s="38">
        <f t="shared" si="22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6"/>
        <v>0</v>
      </c>
      <c r="I78" s="31">
        <f t="shared" si="17"/>
        <v>0</v>
      </c>
      <c r="J78" s="32" t="str">
        <f t="shared" si="18"/>
        <v/>
      </c>
      <c r="K78" s="32"/>
      <c r="L78" s="33">
        <f t="shared" si="19"/>
        <v>0</v>
      </c>
      <c r="M78" s="32"/>
      <c r="N78" s="32"/>
      <c r="O78" s="34">
        <f t="shared" si="20"/>
        <v>0</v>
      </c>
      <c r="P78" s="44"/>
      <c r="Q78" s="44"/>
      <c r="R78" s="37">
        <f t="shared" si="21"/>
        <v>0</v>
      </c>
      <c r="S78" s="38">
        <f t="shared" si="22"/>
        <v>0</v>
      </c>
      <c r="T78" s="51"/>
      <c r="U78" s="42">
        <f>IFERROR(__xludf.DUMMYFUNCTION("""COMPUTED_VALUE"""),0.0)</f>
        <v>0</v>
      </c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6"/>
        <v>0</v>
      </c>
      <c r="I79" s="31">
        <f t="shared" si="17"/>
        <v>0</v>
      </c>
      <c r="J79" s="32" t="str">
        <f t="shared" si="18"/>
        <v/>
      </c>
      <c r="K79" s="32"/>
      <c r="L79" s="33">
        <f t="shared" si="19"/>
        <v>0</v>
      </c>
      <c r="M79" s="32"/>
      <c r="N79" s="32"/>
      <c r="O79" s="34">
        <f t="shared" si="20"/>
        <v>0</v>
      </c>
      <c r="P79" s="44"/>
      <c r="Q79" s="44"/>
      <c r="R79" s="37">
        <f t="shared" si="21"/>
        <v>0</v>
      </c>
      <c r="S79" s="38">
        <f t="shared" si="22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6"/>
        <v>0</v>
      </c>
      <c r="I80" s="31">
        <f t="shared" si="17"/>
        <v>0</v>
      </c>
      <c r="J80" s="32" t="str">
        <f t="shared" si="18"/>
        <v/>
      </c>
      <c r="K80" s="32"/>
      <c r="L80" s="33">
        <f t="shared" si="19"/>
        <v>0</v>
      </c>
      <c r="M80" s="32"/>
      <c r="N80" s="32"/>
      <c r="O80" s="34">
        <f t="shared" si="20"/>
        <v>0</v>
      </c>
      <c r="P80" s="44"/>
      <c r="Q80" s="44"/>
      <c r="R80" s="37">
        <f t="shared" si="21"/>
        <v>0</v>
      </c>
      <c r="S80" s="38">
        <f t="shared" si="22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4380000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IFERROR(__xludf.DUMMYFUNCTION("IMPORTRANGE(""https://docs.google.com/spreadsheets/d/17TnzcKnlaqlAyM_3lnNpgK5CAOPbscCCRVH50X8UulY/edit?usp=sharing"",""APRIL!B72"")"),"TANGGAL : 20-25 APRIL 2026")</f>
        <v>TANGGAL : 20-25 APRIL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IFERROR(__xludf.DUMMYFUNCTION("IMPORTRANGE(""https://docs.google.com/spreadsheets/d/17TnzcKnlaqlAyM_3lnNpgK5CAOPbscCCRVH50X8UulY/edit?usp=sharing"",""APRIL!B73:D92"")"),"EPUL")</f>
        <v>EPUL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IFERROR(__xludf.DUMMYFUNCTION("IMPORTRANGE(""https://docs.google.com/spreadsheets/d/17TnzcKnlaqlAyM_3lnNpgK5CAOPbscCCRVH50X8UulY/edit?usp=sharing"",""APRIL!K73:K91"")"),6.0)</f>
        <v>6</v>
      </c>
      <c r="G84" s="30">
        <v>110000.0</v>
      </c>
      <c r="H84" s="31">
        <f t="shared" ref="H84:H105" si="23">F84*G84</f>
        <v>660000</v>
      </c>
      <c r="I84" s="31">
        <f t="shared" ref="I84:I105" si="24">F84*10000</f>
        <v>60000</v>
      </c>
      <c r="J84" s="32" t="str">
        <f t="shared" ref="J84:J105" si="25">IF(E84="SHIFT 2",I84,"")</f>
        <v/>
      </c>
      <c r="K84" s="32"/>
      <c r="L84" s="33">
        <f t="shared" ref="L84:L105" si="26">U84*$L$83</f>
        <v>120000</v>
      </c>
      <c r="M84" s="32"/>
      <c r="N84" s="32"/>
      <c r="O84" s="34">
        <f t="shared" ref="O84:O105" si="27">SUM(H84:N84)</f>
        <v>840000</v>
      </c>
      <c r="P84" s="44"/>
      <c r="Q84" s="44"/>
      <c r="R84" s="37">
        <f t="shared" ref="R84:R105" si="28">SUM(P84:Q84)</f>
        <v>0</v>
      </c>
      <c r="S84" s="38">
        <f t="shared" ref="S84:S105" si="29">O84-R84</f>
        <v>840000</v>
      </c>
      <c r="T84" s="39" t="str">
        <f>IFERROR(__xludf.DUMMYFUNCTION("IMPORTRANGE(""https://docs.google.com/spreadsheets/d/1Aud93BfAdhkWf584eKi6yqKFYhpUXTj-qoDfXlGtG84/edit?usp=sharing"",""APRIL!L73:L92"")"),"")</f>
        <v/>
      </c>
      <c r="U84" s="42">
        <f>IFERROR(__xludf.DUMMYFUNCTION("IMPORTRANGE(""https://docs.google.com/spreadsheets/d/17TnzcKnlaqlAyM_3lnNpgK5CAOPbscCCRVH50X8UulY/edit?usp=sharing"",""APRIL!U73:U92"")"),8.0)</f>
        <v>8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IFERROR(__xludf.DUMMYFUNCTION("""COMPUTED_VALUE"""),6.0)</f>
        <v>6</v>
      </c>
      <c r="G85" s="30">
        <v>70000.0</v>
      </c>
      <c r="H85" s="31">
        <f t="shared" si="23"/>
        <v>420000</v>
      </c>
      <c r="I85" s="31">
        <f t="shared" si="24"/>
        <v>60000</v>
      </c>
      <c r="J85" s="32" t="str">
        <f t="shared" si="25"/>
        <v/>
      </c>
      <c r="K85" s="41"/>
      <c r="L85" s="33">
        <f t="shared" si="26"/>
        <v>0</v>
      </c>
      <c r="M85" s="41"/>
      <c r="N85" s="41"/>
      <c r="O85" s="34">
        <f t="shared" si="27"/>
        <v>480000</v>
      </c>
      <c r="P85" s="44"/>
      <c r="Q85" s="44"/>
      <c r="R85" s="37">
        <f t="shared" si="28"/>
        <v>0</v>
      </c>
      <c r="S85" s="38">
        <f t="shared" si="29"/>
        <v>480000</v>
      </c>
      <c r="T85" s="39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/>
      <c r="D86" s="27" t="str">
        <f>IFERROR(__xludf.DUMMYFUNCTION("""COMPUTED_VALUE"""),"ADMIN")</f>
        <v>ADMIN</v>
      </c>
      <c r="E86" s="28"/>
      <c r="F86" s="52">
        <f>IFERROR(__xludf.DUMMYFUNCTION("""COMPUTED_VALUE"""),0.0)</f>
        <v>0</v>
      </c>
      <c r="G86" s="30">
        <v>70000.0</v>
      </c>
      <c r="H86" s="31">
        <f t="shared" si="23"/>
        <v>0</v>
      </c>
      <c r="I86" s="31">
        <f t="shared" si="24"/>
        <v>0</v>
      </c>
      <c r="J86" s="32" t="str">
        <f t="shared" si="25"/>
        <v/>
      </c>
      <c r="K86" s="41"/>
      <c r="L86" s="33">
        <f t="shared" si="26"/>
        <v>0</v>
      </c>
      <c r="M86" s="41"/>
      <c r="N86" s="41"/>
      <c r="O86" s="34">
        <f t="shared" si="27"/>
        <v>0</v>
      </c>
      <c r="P86" s="44"/>
      <c r="Q86" s="44"/>
      <c r="R86" s="37">
        <f t="shared" si="28"/>
        <v>0</v>
      </c>
      <c r="S86" s="38">
        <f t="shared" si="29"/>
        <v>0</v>
      </c>
      <c r="T86" s="39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IFERROR(__xludf.DUMMYFUNCTION("""COMPUTED_VALUE"""),"ANDRI")</f>
        <v>ANDRI</v>
      </c>
      <c r="D87" s="27" t="str">
        <f>IFERROR(__xludf.DUMMYFUNCTION("""COMPUTED_VALUE"""),"DESIGN BORDIR")</f>
        <v>DESIGN BORDIR</v>
      </c>
      <c r="E87" s="28"/>
      <c r="F87" s="52">
        <f>IFERROR(__xludf.DUMMYFUNCTION("""COMPUTED_VALUE"""),6.0)</f>
        <v>6</v>
      </c>
      <c r="G87" s="30">
        <v>70000.0</v>
      </c>
      <c r="H87" s="31">
        <f t="shared" si="23"/>
        <v>420000</v>
      </c>
      <c r="I87" s="31">
        <f t="shared" si="24"/>
        <v>60000</v>
      </c>
      <c r="J87" s="32" t="str">
        <f t="shared" si="25"/>
        <v/>
      </c>
      <c r="K87" s="32"/>
      <c r="L87" s="33">
        <f t="shared" si="26"/>
        <v>0</v>
      </c>
      <c r="M87" s="32"/>
      <c r="N87" s="32"/>
      <c r="O87" s="34">
        <f t="shared" si="27"/>
        <v>480000</v>
      </c>
      <c r="P87" s="44"/>
      <c r="Q87" s="44"/>
      <c r="R87" s="37">
        <f t="shared" si="28"/>
        <v>0</v>
      </c>
      <c r="S87" s="38">
        <f t="shared" si="29"/>
        <v>480000</v>
      </c>
      <c r="T87" s="39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IFERROR(__xludf.DUMMYFUNCTION("""COMPUTED_VALUE"""),"ADIT")</f>
        <v>ADIT</v>
      </c>
      <c r="D88" s="27" t="str">
        <f>IFERROR(__xludf.DUMMYFUNCTION("""COMPUTED_VALUE"""),"CREATOR")</f>
        <v>CREATOR</v>
      </c>
      <c r="E88" s="28"/>
      <c r="F88" s="52">
        <f>IFERROR(__xludf.DUMMYFUNCTION("""COMPUTED_VALUE"""),6.0)</f>
        <v>6</v>
      </c>
      <c r="G88" s="30">
        <v>50000.0</v>
      </c>
      <c r="H88" s="31">
        <f t="shared" si="23"/>
        <v>300000</v>
      </c>
      <c r="I88" s="31">
        <f t="shared" si="24"/>
        <v>60000</v>
      </c>
      <c r="J88" s="32" t="str">
        <f t="shared" si="25"/>
        <v/>
      </c>
      <c r="K88" s="32"/>
      <c r="L88" s="33">
        <f t="shared" si="26"/>
        <v>0</v>
      </c>
      <c r="M88" s="32"/>
      <c r="N88" s="32"/>
      <c r="O88" s="34">
        <f t="shared" si="27"/>
        <v>360000</v>
      </c>
      <c r="P88" s="44"/>
      <c r="Q88" s="44"/>
      <c r="R88" s="37">
        <f t="shared" si="28"/>
        <v>0</v>
      </c>
      <c r="S88" s="38">
        <f t="shared" si="29"/>
        <v>360000</v>
      </c>
      <c r="T88" s="39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IFERROR(__xludf.DUMMYFUNCTION("""COMPUTED_VALUE"""),6.0)</f>
        <v>6</v>
      </c>
      <c r="G89" s="30">
        <v>70000.0</v>
      </c>
      <c r="H89" s="31">
        <f t="shared" si="23"/>
        <v>420000</v>
      </c>
      <c r="I89" s="31">
        <f t="shared" si="24"/>
        <v>60000</v>
      </c>
      <c r="J89" s="32" t="str">
        <f t="shared" si="25"/>
        <v/>
      </c>
      <c r="K89" s="32"/>
      <c r="L89" s="33">
        <f t="shared" si="26"/>
        <v>135000</v>
      </c>
      <c r="M89" s="32"/>
      <c r="N89" s="32"/>
      <c r="O89" s="34">
        <f t="shared" si="27"/>
        <v>615000</v>
      </c>
      <c r="P89" s="35"/>
      <c r="Q89" s="44"/>
      <c r="R89" s="37">
        <f t="shared" si="28"/>
        <v>0</v>
      </c>
      <c r="S89" s="38">
        <f t="shared" si="29"/>
        <v>615000</v>
      </c>
      <c r="T89" s="39"/>
      <c r="U89" s="42">
        <f>IFERROR(__xludf.DUMMYFUNCTION("""COMPUTED_VALUE"""),9.0)</f>
        <v>9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IFERROR(__xludf.DUMMYFUNCTION("""COMPUTED_VALUE"""),6.0)</f>
        <v>6</v>
      </c>
      <c r="G90" s="30">
        <v>70000.0</v>
      </c>
      <c r="H90" s="31">
        <f t="shared" si="23"/>
        <v>420000</v>
      </c>
      <c r="I90" s="31">
        <f t="shared" si="24"/>
        <v>60000</v>
      </c>
      <c r="J90" s="32" t="str">
        <f t="shared" si="25"/>
        <v/>
      </c>
      <c r="K90" s="32"/>
      <c r="L90" s="33">
        <f t="shared" si="26"/>
        <v>120000</v>
      </c>
      <c r="M90" s="32"/>
      <c r="N90" s="32"/>
      <c r="O90" s="34">
        <f t="shared" si="27"/>
        <v>600000</v>
      </c>
      <c r="P90" s="44"/>
      <c r="Q90" s="44"/>
      <c r="R90" s="37">
        <f t="shared" si="28"/>
        <v>0</v>
      </c>
      <c r="S90" s="38">
        <f t="shared" si="29"/>
        <v>600000</v>
      </c>
      <c r="T90" s="39"/>
      <c r="U90" s="42">
        <f>IFERROR(__xludf.DUMMYFUNCTION("""COMPUTED_VALUE"""),8.0)</f>
        <v>8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IFERROR(__xludf.DUMMYFUNCTION("""COMPUTED_VALUE"""),6.0)</f>
        <v>6</v>
      </c>
      <c r="G91" s="30">
        <v>50000.0</v>
      </c>
      <c r="H91" s="31">
        <f t="shared" si="23"/>
        <v>300000</v>
      </c>
      <c r="I91" s="31">
        <f t="shared" si="24"/>
        <v>60000</v>
      </c>
      <c r="J91" s="32" t="str">
        <f t="shared" si="25"/>
        <v/>
      </c>
      <c r="K91" s="32"/>
      <c r="L91" s="33">
        <f t="shared" si="26"/>
        <v>15000</v>
      </c>
      <c r="M91" s="32"/>
      <c r="N91" s="32"/>
      <c r="O91" s="34">
        <f t="shared" si="27"/>
        <v>375000</v>
      </c>
      <c r="P91" s="44"/>
      <c r="Q91" s="44"/>
      <c r="R91" s="37">
        <f t="shared" si="28"/>
        <v>0</v>
      </c>
      <c r="S91" s="38">
        <f t="shared" si="29"/>
        <v>375000</v>
      </c>
      <c r="T91" s="39"/>
      <c r="U91" s="42">
        <f>IFERROR(__xludf.DUMMYFUNCTION("""COMPUTED_VALUE"""),1.0)</f>
        <v>1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/>
      <c r="F92" s="52">
        <f>IFERROR(__xludf.DUMMYFUNCTION("""COMPUTED_VALUE"""),6.0)</f>
        <v>6</v>
      </c>
      <c r="G92" s="30">
        <v>50000.0</v>
      </c>
      <c r="H92" s="31">
        <f t="shared" si="23"/>
        <v>300000</v>
      </c>
      <c r="I92" s="31">
        <f t="shared" si="24"/>
        <v>60000</v>
      </c>
      <c r="J92" s="32" t="str">
        <f t="shared" si="25"/>
        <v/>
      </c>
      <c r="K92" s="32"/>
      <c r="L92" s="33">
        <f t="shared" si="26"/>
        <v>0</v>
      </c>
      <c r="M92" s="32"/>
      <c r="N92" s="32"/>
      <c r="O92" s="34">
        <f t="shared" si="27"/>
        <v>360000</v>
      </c>
      <c r="P92" s="44"/>
      <c r="Q92" s="44"/>
      <c r="R92" s="37">
        <f t="shared" si="28"/>
        <v>0</v>
      </c>
      <c r="S92" s="38">
        <f t="shared" si="29"/>
        <v>360000</v>
      </c>
      <c r="T92" s="39"/>
      <c r="U92" s="42">
        <f>IFERROR(__xludf.DUMMYFUNCTION("""COMPUTED_VALUE"""),0.0)</f>
        <v>0</v>
      </c>
    </row>
    <row r="93" ht="37.5" customHeight="1">
      <c r="B93" s="25">
        <v>10.0</v>
      </c>
      <c r="C93" s="26" t="str">
        <f>IFERROR(__xludf.DUMMYFUNCTION("""COMPUTED_VALUE"""),"IIS")</f>
        <v>IIS</v>
      </c>
      <c r="D93" s="27" t="str">
        <f>IFERROR(__xludf.DUMMYFUNCTION("""COMPUTED_VALUE"""),"PACKING")</f>
        <v>PACKING</v>
      </c>
      <c r="E93" s="51"/>
      <c r="F93" s="52">
        <f>IFERROR(__xludf.DUMMYFUNCTION("""COMPUTED_VALUE"""),6.0)</f>
        <v>6</v>
      </c>
      <c r="G93" s="30">
        <v>70000.0</v>
      </c>
      <c r="H93" s="31">
        <f t="shared" si="23"/>
        <v>420000</v>
      </c>
      <c r="I93" s="31">
        <f t="shared" si="24"/>
        <v>60000</v>
      </c>
      <c r="J93" s="32" t="str">
        <f t="shared" si="25"/>
        <v/>
      </c>
      <c r="K93" s="32"/>
      <c r="L93" s="33">
        <f t="shared" si="26"/>
        <v>0</v>
      </c>
      <c r="M93" s="32"/>
      <c r="N93" s="32"/>
      <c r="O93" s="34">
        <f t="shared" si="27"/>
        <v>480000</v>
      </c>
      <c r="P93" s="44"/>
      <c r="Q93" s="44"/>
      <c r="R93" s="37">
        <f t="shared" si="28"/>
        <v>0</v>
      </c>
      <c r="S93" s="38">
        <f t="shared" si="29"/>
        <v>480000</v>
      </c>
      <c r="T93" s="39"/>
      <c r="U93" s="42">
        <f>IFERROR(__xludf.DUMMYFUNCTION("""COMPUTED_VALUE"""),0.0)</f>
        <v>0</v>
      </c>
    </row>
    <row r="94" ht="37.5" customHeight="1">
      <c r="B94" s="25">
        <v>11.0</v>
      </c>
      <c r="C94" s="26" t="str">
        <f>IFERROR(__xludf.DUMMYFUNCTION("""COMPUTED_VALUE"""),"BI MUMUN")</f>
        <v>BI MUMUN</v>
      </c>
      <c r="D94" s="27" t="str">
        <f>IFERROR(__xludf.DUMMYFUNCTION("""COMPUTED_VALUE"""),"PACKING")</f>
        <v>PACKING</v>
      </c>
      <c r="E94" s="51"/>
      <c r="F94" s="52">
        <f>IFERROR(__xludf.DUMMYFUNCTION("""COMPUTED_VALUE"""),2.0)</f>
        <v>2</v>
      </c>
      <c r="G94" s="30">
        <v>50000.0</v>
      </c>
      <c r="H94" s="31">
        <f t="shared" si="23"/>
        <v>100000</v>
      </c>
      <c r="I94" s="31">
        <f t="shared" si="24"/>
        <v>20000</v>
      </c>
      <c r="J94" s="32" t="str">
        <f t="shared" si="25"/>
        <v/>
      </c>
      <c r="K94" s="32"/>
      <c r="L94" s="33">
        <f t="shared" si="26"/>
        <v>0</v>
      </c>
      <c r="M94" s="32"/>
      <c r="N94" s="32"/>
      <c r="O94" s="34">
        <f t="shared" si="27"/>
        <v>120000</v>
      </c>
      <c r="P94" s="44"/>
      <c r="Q94" s="44"/>
      <c r="R94" s="37">
        <f t="shared" si="28"/>
        <v>0</v>
      </c>
      <c r="S94" s="38">
        <f t="shared" si="29"/>
        <v>120000</v>
      </c>
      <c r="T94" s="39"/>
      <c r="U94" s="42">
        <f>IFERROR(__xludf.DUMMYFUNCTION("""COMPUTED_VALUE"""),0.0)</f>
        <v>0</v>
      </c>
    </row>
    <row r="95" ht="37.5" customHeight="1">
      <c r="B95" s="25">
        <v>12.0</v>
      </c>
      <c r="C95" s="26"/>
      <c r="D95" s="27"/>
      <c r="E95" s="51"/>
      <c r="F95" s="52">
        <f>IFERROR(__xludf.DUMMYFUNCTION("""COMPUTED_VALUE"""),0.0)</f>
        <v>0</v>
      </c>
      <c r="G95" s="45"/>
      <c r="H95" s="31">
        <f t="shared" si="23"/>
        <v>0</v>
      </c>
      <c r="I95" s="31">
        <f t="shared" si="24"/>
        <v>0</v>
      </c>
      <c r="J95" s="32" t="str">
        <f t="shared" si="25"/>
        <v/>
      </c>
      <c r="K95" s="32"/>
      <c r="L95" s="33">
        <f t="shared" si="26"/>
        <v>0</v>
      </c>
      <c r="M95" s="32"/>
      <c r="N95" s="32"/>
      <c r="O95" s="34">
        <f t="shared" si="27"/>
        <v>0</v>
      </c>
      <c r="P95" s="44"/>
      <c r="Q95" s="44"/>
      <c r="R95" s="37">
        <f t="shared" si="28"/>
        <v>0</v>
      </c>
      <c r="S95" s="38">
        <f t="shared" si="29"/>
        <v>0</v>
      </c>
      <c r="T95" s="39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51"/>
      <c r="F96" s="52">
        <f>IFERROR(__xludf.DUMMYFUNCTION("""COMPUTED_VALUE"""),0.0)</f>
        <v>0</v>
      </c>
      <c r="G96" s="45"/>
      <c r="H96" s="31">
        <f t="shared" si="23"/>
        <v>0</v>
      </c>
      <c r="I96" s="31">
        <f t="shared" si="24"/>
        <v>0</v>
      </c>
      <c r="J96" s="32" t="str">
        <f t="shared" si="25"/>
        <v/>
      </c>
      <c r="K96" s="32"/>
      <c r="L96" s="33">
        <f t="shared" si="26"/>
        <v>0</v>
      </c>
      <c r="M96" s="32"/>
      <c r="N96" s="32"/>
      <c r="O96" s="34">
        <f t="shared" si="27"/>
        <v>0</v>
      </c>
      <c r="P96" s="44"/>
      <c r="Q96" s="44"/>
      <c r="R96" s="37">
        <f t="shared" si="28"/>
        <v>0</v>
      </c>
      <c r="S96" s="38">
        <f t="shared" si="29"/>
        <v>0</v>
      </c>
      <c r="T96" s="39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51"/>
      <c r="F97" s="52">
        <f>IFERROR(__xludf.DUMMYFUNCTION("""COMPUTED_VALUE"""),0.0)</f>
        <v>0</v>
      </c>
      <c r="G97" s="45"/>
      <c r="H97" s="31">
        <f t="shared" si="23"/>
        <v>0</v>
      </c>
      <c r="I97" s="31">
        <f t="shared" si="24"/>
        <v>0</v>
      </c>
      <c r="J97" s="32" t="str">
        <f t="shared" si="25"/>
        <v/>
      </c>
      <c r="K97" s="32"/>
      <c r="L97" s="33">
        <f t="shared" si="26"/>
        <v>0</v>
      </c>
      <c r="M97" s="32"/>
      <c r="N97" s="32"/>
      <c r="O97" s="34">
        <f t="shared" si="27"/>
        <v>0</v>
      </c>
      <c r="P97" s="44"/>
      <c r="Q97" s="44"/>
      <c r="R97" s="37">
        <f t="shared" si="28"/>
        <v>0</v>
      </c>
      <c r="S97" s="38">
        <f t="shared" si="29"/>
        <v>0</v>
      </c>
      <c r="T97" s="39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0"/>
      <c r="E98" s="51"/>
      <c r="F98" s="52">
        <f>IFERROR(__xludf.DUMMYFUNCTION("""COMPUTED_VALUE"""),0.0)</f>
        <v>0</v>
      </c>
      <c r="G98" s="45"/>
      <c r="H98" s="31">
        <f t="shared" si="23"/>
        <v>0</v>
      </c>
      <c r="I98" s="31">
        <f t="shared" si="24"/>
        <v>0</v>
      </c>
      <c r="J98" s="32" t="str">
        <f t="shared" si="25"/>
        <v/>
      </c>
      <c r="K98" s="32"/>
      <c r="L98" s="33">
        <f t="shared" si="26"/>
        <v>0</v>
      </c>
      <c r="M98" s="32"/>
      <c r="N98" s="32"/>
      <c r="O98" s="34">
        <f t="shared" si="27"/>
        <v>0</v>
      </c>
      <c r="P98" s="44"/>
      <c r="Q98" s="44"/>
      <c r="R98" s="37">
        <f t="shared" si="28"/>
        <v>0</v>
      </c>
      <c r="S98" s="38">
        <f t="shared" si="29"/>
        <v>0</v>
      </c>
      <c r="T98" s="39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3"/>
        <v>0</v>
      </c>
      <c r="I99" s="31">
        <f t="shared" si="24"/>
        <v>0</v>
      </c>
      <c r="J99" s="32" t="str">
        <f t="shared" si="25"/>
        <v/>
      </c>
      <c r="K99" s="32"/>
      <c r="L99" s="33">
        <f t="shared" si="26"/>
        <v>0</v>
      </c>
      <c r="M99" s="32"/>
      <c r="N99" s="32"/>
      <c r="O99" s="34">
        <f t="shared" si="27"/>
        <v>0</v>
      </c>
      <c r="P99" s="44"/>
      <c r="Q99" s="44"/>
      <c r="R99" s="37">
        <f t="shared" si="28"/>
        <v>0</v>
      </c>
      <c r="S99" s="38">
        <f t="shared" si="29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3"/>
        <v>0</v>
      </c>
      <c r="I100" s="31">
        <f t="shared" si="24"/>
        <v>0</v>
      </c>
      <c r="J100" s="32" t="str">
        <f t="shared" si="25"/>
        <v/>
      </c>
      <c r="K100" s="32"/>
      <c r="L100" s="33">
        <f t="shared" si="26"/>
        <v>0</v>
      </c>
      <c r="M100" s="32"/>
      <c r="N100" s="32"/>
      <c r="O100" s="34">
        <f t="shared" si="27"/>
        <v>0</v>
      </c>
      <c r="P100" s="44"/>
      <c r="Q100" s="44"/>
      <c r="R100" s="37">
        <f t="shared" si="28"/>
        <v>0</v>
      </c>
      <c r="S100" s="38">
        <f t="shared" si="29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3"/>
        <v>0</v>
      </c>
      <c r="I101" s="31">
        <f t="shared" si="24"/>
        <v>0</v>
      </c>
      <c r="J101" s="32" t="str">
        <f t="shared" si="25"/>
        <v/>
      </c>
      <c r="K101" s="32"/>
      <c r="L101" s="33">
        <f t="shared" si="26"/>
        <v>0</v>
      </c>
      <c r="M101" s="32"/>
      <c r="N101" s="32"/>
      <c r="O101" s="34">
        <f t="shared" si="27"/>
        <v>0</v>
      </c>
      <c r="P101" s="44"/>
      <c r="Q101" s="44"/>
      <c r="R101" s="37">
        <f t="shared" si="28"/>
        <v>0</v>
      </c>
      <c r="S101" s="38">
        <f t="shared" si="29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3"/>
        <v>0</v>
      </c>
      <c r="I102" s="31">
        <f t="shared" si="24"/>
        <v>0</v>
      </c>
      <c r="J102" s="32" t="str">
        <f t="shared" si="25"/>
        <v/>
      </c>
      <c r="K102" s="32"/>
      <c r="L102" s="33">
        <f t="shared" si="26"/>
        <v>0</v>
      </c>
      <c r="M102" s="32"/>
      <c r="N102" s="32"/>
      <c r="O102" s="34">
        <f t="shared" si="27"/>
        <v>0</v>
      </c>
      <c r="P102" s="44"/>
      <c r="Q102" s="44"/>
      <c r="R102" s="37">
        <f t="shared" si="28"/>
        <v>0</v>
      </c>
      <c r="S102" s="38">
        <f t="shared" si="29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3"/>
        <v>0</v>
      </c>
      <c r="I103" s="31">
        <f t="shared" si="24"/>
        <v>0</v>
      </c>
      <c r="J103" s="32" t="str">
        <f t="shared" si="25"/>
        <v/>
      </c>
      <c r="K103" s="32"/>
      <c r="L103" s="33">
        <f t="shared" si="26"/>
        <v>0</v>
      </c>
      <c r="M103" s="32"/>
      <c r="N103" s="32"/>
      <c r="O103" s="34">
        <f t="shared" si="27"/>
        <v>0</v>
      </c>
      <c r="P103" s="44"/>
      <c r="Q103" s="44"/>
      <c r="R103" s="37">
        <f t="shared" si="28"/>
        <v>0</v>
      </c>
      <c r="S103" s="38">
        <f t="shared" si="29"/>
        <v>0</v>
      </c>
      <c r="T103" s="51"/>
      <c r="U103" s="42">
        <f>IFERROR(__xludf.DUMMYFUNCTION("""COMPUTED_VALUE"""),0.0)</f>
        <v>0</v>
      </c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3"/>
        <v>0</v>
      </c>
      <c r="I104" s="31">
        <f t="shared" si="24"/>
        <v>0</v>
      </c>
      <c r="J104" s="32" t="str">
        <f t="shared" si="25"/>
        <v/>
      </c>
      <c r="K104" s="32"/>
      <c r="L104" s="33">
        <f t="shared" si="26"/>
        <v>0</v>
      </c>
      <c r="M104" s="32"/>
      <c r="N104" s="32"/>
      <c r="O104" s="34">
        <f t="shared" si="27"/>
        <v>0</v>
      </c>
      <c r="P104" s="44"/>
      <c r="Q104" s="44"/>
      <c r="R104" s="37">
        <f t="shared" si="28"/>
        <v>0</v>
      </c>
      <c r="S104" s="38">
        <f t="shared" si="29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3"/>
        <v>0</v>
      </c>
      <c r="I105" s="31">
        <f t="shared" si="24"/>
        <v>0</v>
      </c>
      <c r="J105" s="32" t="str">
        <f t="shared" si="25"/>
        <v/>
      </c>
      <c r="K105" s="32"/>
      <c r="L105" s="33">
        <f t="shared" si="26"/>
        <v>0</v>
      </c>
      <c r="M105" s="32"/>
      <c r="N105" s="32"/>
      <c r="O105" s="34">
        <f t="shared" si="27"/>
        <v>0</v>
      </c>
      <c r="P105" s="44"/>
      <c r="Q105" s="44"/>
      <c r="R105" s="37">
        <f t="shared" si="28"/>
        <v>0</v>
      </c>
      <c r="S105" s="38">
        <f t="shared" si="29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4710000</v>
      </c>
      <c r="T106" s="57"/>
      <c r="U106" s="58"/>
    </row>
    <row r="107" ht="19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IFERROR(__xludf.DUMMYFUNCTION("IMPORTRANGE(""https://docs.google.com/spreadsheets/d/17TnzcKnlaqlAyM_3lnNpgK5CAOPbscCCRVH50X8UulY/edit?usp=sharing"",""APRIL!B94"")"),"TANGGAL : 27-30 APRIL 2026")</f>
        <v>TANGGAL : 27-30 APRIL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IFERROR(__xludf.DUMMYFUNCTION("IMPORTRANGE(""https://docs.google.com/spreadsheets/d/17TnzcKnlaqlAyM_3lnNpgK5CAOPbscCCRVH50X8UulY/edit?usp=sharing"",""APRIL!B95:D114"")"),"EPUL")</f>
        <v>EPUL</v>
      </c>
      <c r="D109" s="27" t="str">
        <f>IFERROR(__xludf.DUMMYFUNCTION("""COMPUTED_VALUE"""),"KEPALA")</f>
        <v>KEPALA</v>
      </c>
      <c r="E109" s="28"/>
      <c r="F109" s="52">
        <f>IFERROR(__xludf.DUMMYFUNCTION("IMPORTRANGE(""https://docs.google.com/spreadsheets/d/17TnzcKnlaqlAyM_3lnNpgK5CAOPbscCCRVH50X8UulY/edit?usp=sharing"",""APRIL!K95:K113"")"),4.0)</f>
        <v>4</v>
      </c>
      <c r="G109" s="128">
        <v>110000.0</v>
      </c>
      <c r="H109" s="31">
        <f t="shared" ref="H109:H130" si="30">F109*G109</f>
        <v>440000</v>
      </c>
      <c r="I109" s="31">
        <f t="shared" ref="I109:I130" si="31">F109*10000</f>
        <v>40000</v>
      </c>
      <c r="J109" s="32" t="str">
        <f t="shared" ref="J109:J130" si="32">IF(E109="SHIFT 2",I109,"")</f>
        <v/>
      </c>
      <c r="K109" s="32"/>
      <c r="L109" s="33">
        <f t="shared" ref="L109:L130" si="33">U109*$L$108</f>
        <v>0</v>
      </c>
      <c r="M109" s="32"/>
      <c r="N109" s="32"/>
      <c r="O109" s="34">
        <f t="shared" ref="O109:O130" si="34">SUM(H109:N109)</f>
        <v>480000</v>
      </c>
      <c r="P109" s="44"/>
      <c r="Q109" s="44"/>
      <c r="R109" s="37">
        <f t="shared" ref="R109:R130" si="35">SUM(P109:Q109)</f>
        <v>0</v>
      </c>
      <c r="S109" s="38">
        <f t="shared" ref="S109:S130" si="36">O109-R109</f>
        <v>480000</v>
      </c>
      <c r="T109" s="39" t="str">
        <f>IFERROR(__xludf.DUMMYFUNCTION("IMPORTRANGE(""https://docs.google.com/spreadsheets/d/17TnzcKnlaqlAyM_3lnNpgK5CAOPbscCCRVH50X8UulY/edit?usp=sharing"",""APRIL!L95:L114"")"),"")</f>
        <v/>
      </c>
      <c r="U109" s="42">
        <f>IFERROR(__xludf.DUMMYFUNCTION("IMPORTRANGE(""https://docs.google.com/spreadsheets/d/17TnzcKnlaqlAyM_3lnNpgK5CAOPbscCCRVH50X8UulY/edit?usp=sharing"",""APRIL!U95:U114"")"),0.0)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/>
      <c r="F110" s="52">
        <f>IFERROR(__xludf.DUMMYFUNCTION("""COMPUTED_VALUE"""),4.0)</f>
        <v>4</v>
      </c>
      <c r="G110" s="128">
        <v>70000.0</v>
      </c>
      <c r="H110" s="31">
        <f t="shared" si="30"/>
        <v>280000</v>
      </c>
      <c r="I110" s="31">
        <f t="shared" si="31"/>
        <v>40000</v>
      </c>
      <c r="J110" s="32" t="str">
        <f t="shared" si="32"/>
        <v/>
      </c>
      <c r="K110" s="41"/>
      <c r="L110" s="33">
        <f t="shared" si="33"/>
        <v>0</v>
      </c>
      <c r="M110" s="41"/>
      <c r="N110" s="41"/>
      <c r="O110" s="34">
        <f t="shared" si="34"/>
        <v>320000</v>
      </c>
      <c r="P110" s="44"/>
      <c r="Q110" s="44"/>
      <c r="R110" s="37">
        <f t="shared" si="35"/>
        <v>0</v>
      </c>
      <c r="S110" s="38">
        <f t="shared" si="36"/>
        <v>320000</v>
      </c>
      <c r="T110" s="39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/>
      <c r="D111" s="27" t="str">
        <f>IFERROR(__xludf.DUMMYFUNCTION("""COMPUTED_VALUE"""),"ADMIN")</f>
        <v>ADMIN</v>
      </c>
      <c r="E111" s="28"/>
      <c r="F111" s="52">
        <f>IFERROR(__xludf.DUMMYFUNCTION("""COMPUTED_VALUE"""),0.0)</f>
        <v>0</v>
      </c>
      <c r="G111" s="128">
        <v>70000.0</v>
      </c>
      <c r="H111" s="31">
        <f t="shared" si="30"/>
        <v>0</v>
      </c>
      <c r="I111" s="31">
        <f t="shared" si="31"/>
        <v>0</v>
      </c>
      <c r="J111" s="32" t="str">
        <f t="shared" si="32"/>
        <v/>
      </c>
      <c r="K111" s="41"/>
      <c r="L111" s="33">
        <f t="shared" si="33"/>
        <v>0</v>
      </c>
      <c r="M111" s="41"/>
      <c r="N111" s="41"/>
      <c r="O111" s="34">
        <f t="shared" si="34"/>
        <v>0</v>
      </c>
      <c r="P111" s="44"/>
      <c r="Q111" s="44"/>
      <c r="R111" s="37">
        <f t="shared" si="35"/>
        <v>0</v>
      </c>
      <c r="S111" s="38">
        <f t="shared" si="36"/>
        <v>0</v>
      </c>
      <c r="T111" s="39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IFERROR(__xludf.DUMMYFUNCTION("""COMPUTED_VALUE"""),"ANDRI")</f>
        <v>ANDRI</v>
      </c>
      <c r="D112" s="27" t="str">
        <f>IFERROR(__xludf.DUMMYFUNCTION("""COMPUTED_VALUE"""),"DESIGN BORDIR")</f>
        <v>DESIGN BORDIR</v>
      </c>
      <c r="E112" s="28"/>
      <c r="F112" s="52">
        <f>IFERROR(__xludf.DUMMYFUNCTION("""COMPUTED_VALUE"""),4.0)</f>
        <v>4</v>
      </c>
      <c r="G112" s="128">
        <v>70000.0</v>
      </c>
      <c r="H112" s="31">
        <f t="shared" si="30"/>
        <v>280000</v>
      </c>
      <c r="I112" s="31">
        <f t="shared" si="31"/>
        <v>40000</v>
      </c>
      <c r="J112" s="32" t="str">
        <f t="shared" si="32"/>
        <v/>
      </c>
      <c r="K112" s="32"/>
      <c r="L112" s="33">
        <f t="shared" si="33"/>
        <v>0</v>
      </c>
      <c r="M112" s="32"/>
      <c r="N112" s="32"/>
      <c r="O112" s="34">
        <f t="shared" si="34"/>
        <v>320000</v>
      </c>
      <c r="P112" s="44"/>
      <c r="Q112" s="44"/>
      <c r="R112" s="37">
        <f t="shared" si="35"/>
        <v>0</v>
      </c>
      <c r="S112" s="38">
        <f t="shared" si="36"/>
        <v>320000</v>
      </c>
      <c r="T112" s="39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IFERROR(__xludf.DUMMYFUNCTION("""COMPUTED_VALUE"""),"ADIT")</f>
        <v>ADIT</v>
      </c>
      <c r="D113" s="27" t="str">
        <f>IFERROR(__xludf.DUMMYFUNCTION("""COMPUTED_VALUE"""),"CREATOR")</f>
        <v>CREATOR</v>
      </c>
      <c r="E113" s="28"/>
      <c r="F113" s="52">
        <f>IFERROR(__xludf.DUMMYFUNCTION("""COMPUTED_VALUE"""),2.0)</f>
        <v>2</v>
      </c>
      <c r="G113" s="128">
        <v>50000.0</v>
      </c>
      <c r="H113" s="31">
        <f t="shared" si="30"/>
        <v>100000</v>
      </c>
      <c r="I113" s="31">
        <f t="shared" si="31"/>
        <v>20000</v>
      </c>
      <c r="J113" s="32" t="str">
        <f t="shared" si="32"/>
        <v/>
      </c>
      <c r="K113" s="32"/>
      <c r="L113" s="33">
        <f t="shared" si="33"/>
        <v>0</v>
      </c>
      <c r="M113" s="32"/>
      <c r="N113" s="32"/>
      <c r="O113" s="34">
        <f t="shared" si="34"/>
        <v>120000</v>
      </c>
      <c r="P113" s="44"/>
      <c r="Q113" s="44"/>
      <c r="R113" s="37">
        <f t="shared" si="35"/>
        <v>0</v>
      </c>
      <c r="S113" s="38">
        <f t="shared" si="36"/>
        <v>120000</v>
      </c>
      <c r="T113" s="39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/>
      <c r="F114" s="52">
        <f>IFERROR(__xludf.DUMMYFUNCTION("""COMPUTED_VALUE"""),4.0)</f>
        <v>4</v>
      </c>
      <c r="G114" s="128">
        <v>70000.0</v>
      </c>
      <c r="H114" s="31">
        <f t="shared" si="30"/>
        <v>280000</v>
      </c>
      <c r="I114" s="31">
        <f t="shared" si="31"/>
        <v>40000</v>
      </c>
      <c r="J114" s="32" t="str">
        <f t="shared" si="32"/>
        <v/>
      </c>
      <c r="K114" s="32"/>
      <c r="L114" s="33">
        <f t="shared" si="33"/>
        <v>0</v>
      </c>
      <c r="M114" s="32"/>
      <c r="N114" s="32"/>
      <c r="O114" s="34">
        <f t="shared" si="34"/>
        <v>320000</v>
      </c>
      <c r="P114" s="44"/>
      <c r="Q114" s="44"/>
      <c r="R114" s="37">
        <f t="shared" si="35"/>
        <v>0</v>
      </c>
      <c r="S114" s="38">
        <f t="shared" si="36"/>
        <v>320000</v>
      </c>
      <c r="T114" s="39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/>
      <c r="F115" s="52">
        <f>IFERROR(__xludf.DUMMYFUNCTION("""COMPUTED_VALUE"""),4.0)</f>
        <v>4</v>
      </c>
      <c r="G115" s="128">
        <v>70000.0</v>
      </c>
      <c r="H115" s="31">
        <f t="shared" si="30"/>
        <v>280000</v>
      </c>
      <c r="I115" s="31">
        <f t="shared" si="31"/>
        <v>40000</v>
      </c>
      <c r="J115" s="32" t="str">
        <f t="shared" si="32"/>
        <v/>
      </c>
      <c r="K115" s="32"/>
      <c r="L115" s="33">
        <f t="shared" si="33"/>
        <v>0</v>
      </c>
      <c r="M115" s="32"/>
      <c r="N115" s="32"/>
      <c r="O115" s="34">
        <f t="shared" si="34"/>
        <v>320000</v>
      </c>
      <c r="P115" s="44"/>
      <c r="Q115" s="44"/>
      <c r="R115" s="37">
        <f t="shared" si="35"/>
        <v>0</v>
      </c>
      <c r="S115" s="38">
        <f t="shared" si="36"/>
        <v>320000</v>
      </c>
      <c r="T115" s="39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/>
      <c r="F116" s="52">
        <f>IFERROR(__xludf.DUMMYFUNCTION("""COMPUTED_VALUE"""),4.0)</f>
        <v>4</v>
      </c>
      <c r="G116" s="128">
        <v>50000.0</v>
      </c>
      <c r="H116" s="31">
        <f t="shared" si="30"/>
        <v>200000</v>
      </c>
      <c r="I116" s="31">
        <f t="shared" si="31"/>
        <v>40000</v>
      </c>
      <c r="J116" s="32" t="str">
        <f t="shared" si="32"/>
        <v/>
      </c>
      <c r="K116" s="32"/>
      <c r="L116" s="33">
        <f t="shared" si="33"/>
        <v>0</v>
      </c>
      <c r="M116" s="32"/>
      <c r="N116" s="32"/>
      <c r="O116" s="34">
        <f t="shared" si="34"/>
        <v>240000</v>
      </c>
      <c r="P116" s="44"/>
      <c r="Q116" s="44"/>
      <c r="R116" s="37">
        <f t="shared" si="35"/>
        <v>0</v>
      </c>
      <c r="S116" s="38">
        <f t="shared" si="36"/>
        <v>240000</v>
      </c>
      <c r="T116" s="39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/>
      <c r="F117" s="52">
        <f>IFERROR(__xludf.DUMMYFUNCTION("""COMPUTED_VALUE"""),4.0)</f>
        <v>4</v>
      </c>
      <c r="G117" s="128">
        <v>50000.0</v>
      </c>
      <c r="H117" s="31">
        <f t="shared" si="30"/>
        <v>200000</v>
      </c>
      <c r="I117" s="31">
        <f t="shared" si="31"/>
        <v>40000</v>
      </c>
      <c r="J117" s="32" t="str">
        <f t="shared" si="32"/>
        <v/>
      </c>
      <c r="K117" s="32"/>
      <c r="L117" s="33">
        <f t="shared" si="33"/>
        <v>0</v>
      </c>
      <c r="M117" s="32"/>
      <c r="N117" s="32"/>
      <c r="O117" s="34">
        <f t="shared" si="34"/>
        <v>240000</v>
      </c>
      <c r="P117" s="44"/>
      <c r="Q117" s="44"/>
      <c r="R117" s="37">
        <f t="shared" si="35"/>
        <v>0</v>
      </c>
      <c r="S117" s="38">
        <f t="shared" si="36"/>
        <v>240000</v>
      </c>
      <c r="T117" s="39"/>
      <c r="U117" s="42">
        <f>IFERROR(__xludf.DUMMYFUNCTION("""COMPUTED_VALUE"""),0.0)</f>
        <v>0</v>
      </c>
    </row>
    <row r="118" ht="37.5" customHeight="1">
      <c r="B118" s="25">
        <v>10.0</v>
      </c>
      <c r="C118" s="26" t="str">
        <f>IFERROR(__xludf.DUMMYFUNCTION("""COMPUTED_VALUE"""),"IIS")</f>
        <v>IIS</v>
      </c>
      <c r="D118" s="27" t="str">
        <f>IFERROR(__xludf.DUMMYFUNCTION("""COMPUTED_VALUE"""),"PACKING")</f>
        <v>PACKING</v>
      </c>
      <c r="E118" s="51"/>
      <c r="F118" s="52">
        <f>IFERROR(__xludf.DUMMYFUNCTION("""COMPUTED_VALUE"""),4.0)</f>
        <v>4</v>
      </c>
      <c r="G118" s="128">
        <v>70000.0</v>
      </c>
      <c r="H118" s="31">
        <f t="shared" si="30"/>
        <v>280000</v>
      </c>
      <c r="I118" s="31">
        <f t="shared" si="31"/>
        <v>40000</v>
      </c>
      <c r="J118" s="32" t="str">
        <f t="shared" si="32"/>
        <v/>
      </c>
      <c r="K118" s="32"/>
      <c r="L118" s="33">
        <f t="shared" si="33"/>
        <v>0</v>
      </c>
      <c r="M118" s="32"/>
      <c r="N118" s="32"/>
      <c r="O118" s="34">
        <f t="shared" si="34"/>
        <v>320000</v>
      </c>
      <c r="P118" s="44"/>
      <c r="Q118" s="44"/>
      <c r="R118" s="37">
        <f t="shared" si="35"/>
        <v>0</v>
      </c>
      <c r="S118" s="38">
        <f t="shared" si="36"/>
        <v>320000</v>
      </c>
      <c r="T118" s="39"/>
      <c r="U118" s="42">
        <f>IFERROR(__xludf.DUMMYFUNCTION("""COMPUTED_VALUE"""),0.0)</f>
        <v>0</v>
      </c>
    </row>
    <row r="119" ht="37.5" customHeight="1">
      <c r="B119" s="25">
        <v>11.0</v>
      </c>
      <c r="C119" s="49"/>
      <c r="D119" s="50"/>
      <c r="E119" s="51"/>
      <c r="F119" s="52">
        <f>IFERROR(__xludf.DUMMYFUNCTION("""COMPUTED_VALUE"""),0.0)</f>
        <v>0</v>
      </c>
      <c r="G119" s="45"/>
      <c r="H119" s="31">
        <f t="shared" si="30"/>
        <v>0</v>
      </c>
      <c r="I119" s="31">
        <f t="shared" si="31"/>
        <v>0</v>
      </c>
      <c r="J119" s="32" t="str">
        <f t="shared" si="32"/>
        <v/>
      </c>
      <c r="K119" s="32"/>
      <c r="L119" s="33">
        <f t="shared" si="33"/>
        <v>0</v>
      </c>
      <c r="M119" s="32"/>
      <c r="N119" s="32"/>
      <c r="O119" s="34">
        <f t="shared" si="34"/>
        <v>0</v>
      </c>
      <c r="P119" s="44"/>
      <c r="Q119" s="44"/>
      <c r="R119" s="37">
        <f t="shared" si="35"/>
        <v>0</v>
      </c>
      <c r="S119" s="38">
        <f t="shared" si="36"/>
        <v>0</v>
      </c>
      <c r="T119" s="39"/>
      <c r="U119" s="42">
        <f>IFERROR(__xludf.DUMMYFUNCTION("""COMPUTED_VALUE"""),0.0)</f>
        <v>0</v>
      </c>
    </row>
    <row r="120" ht="37.5" customHeight="1">
      <c r="B120" s="25">
        <v>12.0</v>
      </c>
      <c r="C120" s="49"/>
      <c r="D120" s="50"/>
      <c r="E120" s="51"/>
      <c r="F120" s="52">
        <f>IFERROR(__xludf.DUMMYFUNCTION("""COMPUTED_VALUE"""),0.0)</f>
        <v>0</v>
      </c>
      <c r="G120" s="45"/>
      <c r="H120" s="31">
        <f t="shared" si="30"/>
        <v>0</v>
      </c>
      <c r="I120" s="31">
        <f t="shared" si="31"/>
        <v>0</v>
      </c>
      <c r="J120" s="32" t="str">
        <f t="shared" si="32"/>
        <v/>
      </c>
      <c r="K120" s="32"/>
      <c r="L120" s="33">
        <f t="shared" si="33"/>
        <v>0</v>
      </c>
      <c r="M120" s="32"/>
      <c r="N120" s="32"/>
      <c r="O120" s="34">
        <f t="shared" si="34"/>
        <v>0</v>
      </c>
      <c r="P120" s="44"/>
      <c r="Q120" s="44"/>
      <c r="R120" s="37">
        <f t="shared" si="35"/>
        <v>0</v>
      </c>
      <c r="S120" s="38">
        <f t="shared" si="36"/>
        <v>0</v>
      </c>
      <c r="T120" s="39"/>
      <c r="U120" s="42">
        <f>IFERROR(__xludf.DUMMYFUNCTION("""COMPUTED_VALUE"""),0.0)</f>
        <v>0</v>
      </c>
    </row>
    <row r="121" ht="37.5" customHeight="1">
      <c r="B121" s="25">
        <v>13.0</v>
      </c>
      <c r="C121" s="49"/>
      <c r="D121" s="50"/>
      <c r="E121" s="51"/>
      <c r="F121" s="52">
        <f>IFERROR(__xludf.DUMMYFUNCTION("""COMPUTED_VALUE"""),0.0)</f>
        <v>0</v>
      </c>
      <c r="G121" s="45"/>
      <c r="H121" s="31">
        <f t="shared" si="30"/>
        <v>0</v>
      </c>
      <c r="I121" s="31">
        <f t="shared" si="31"/>
        <v>0</v>
      </c>
      <c r="J121" s="32" t="str">
        <f t="shared" si="32"/>
        <v/>
      </c>
      <c r="K121" s="32"/>
      <c r="L121" s="33">
        <f t="shared" si="33"/>
        <v>0</v>
      </c>
      <c r="M121" s="32"/>
      <c r="N121" s="32"/>
      <c r="O121" s="34">
        <f t="shared" si="34"/>
        <v>0</v>
      </c>
      <c r="P121" s="44"/>
      <c r="Q121" s="44"/>
      <c r="R121" s="37">
        <f t="shared" si="35"/>
        <v>0</v>
      </c>
      <c r="S121" s="38">
        <f t="shared" si="36"/>
        <v>0</v>
      </c>
      <c r="T121" s="39"/>
      <c r="U121" s="42">
        <f>IFERROR(__xludf.DUMMYFUNCTION("""COMPUTED_VALUE"""),0.0)</f>
        <v>0</v>
      </c>
    </row>
    <row r="122" ht="37.5" customHeight="1">
      <c r="B122" s="25">
        <v>14.0</v>
      </c>
      <c r="C122" s="49"/>
      <c r="D122" s="50"/>
      <c r="E122" s="51"/>
      <c r="F122" s="52">
        <f>IFERROR(__xludf.DUMMYFUNCTION("""COMPUTED_VALUE"""),0.0)</f>
        <v>0</v>
      </c>
      <c r="G122" s="45"/>
      <c r="H122" s="31">
        <f t="shared" si="30"/>
        <v>0</v>
      </c>
      <c r="I122" s="31">
        <f t="shared" si="31"/>
        <v>0</v>
      </c>
      <c r="J122" s="32" t="str">
        <f t="shared" si="32"/>
        <v/>
      </c>
      <c r="K122" s="32"/>
      <c r="L122" s="33">
        <f t="shared" si="33"/>
        <v>0</v>
      </c>
      <c r="M122" s="32"/>
      <c r="N122" s="32"/>
      <c r="O122" s="34">
        <f t="shared" si="34"/>
        <v>0</v>
      </c>
      <c r="P122" s="44"/>
      <c r="Q122" s="44"/>
      <c r="R122" s="37">
        <f t="shared" si="35"/>
        <v>0</v>
      </c>
      <c r="S122" s="38">
        <f t="shared" si="36"/>
        <v>0</v>
      </c>
      <c r="T122" s="39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0"/>
      <c r="E123" s="51"/>
      <c r="F123" s="52">
        <f>IFERROR(__xludf.DUMMYFUNCTION("""COMPUTED_VALUE"""),0.0)</f>
        <v>0</v>
      </c>
      <c r="G123" s="45"/>
      <c r="H123" s="31">
        <f t="shared" si="30"/>
        <v>0</v>
      </c>
      <c r="I123" s="31">
        <f t="shared" si="31"/>
        <v>0</v>
      </c>
      <c r="J123" s="32" t="str">
        <f t="shared" si="32"/>
        <v/>
      </c>
      <c r="K123" s="32"/>
      <c r="L123" s="33">
        <f t="shared" si="33"/>
        <v>0</v>
      </c>
      <c r="M123" s="32"/>
      <c r="N123" s="32"/>
      <c r="O123" s="34">
        <f t="shared" si="34"/>
        <v>0</v>
      </c>
      <c r="P123" s="44"/>
      <c r="Q123" s="44"/>
      <c r="R123" s="37">
        <f t="shared" si="35"/>
        <v>0</v>
      </c>
      <c r="S123" s="38">
        <f t="shared" si="36"/>
        <v>0</v>
      </c>
      <c r="T123" s="39"/>
      <c r="U123" s="42">
        <f>IFERROR(__xludf.DUMMYFUNCTION("""COMPUTED_VALUE"""),0.0)</f>
        <v>0</v>
      </c>
    </row>
    <row r="124" ht="37.5" customHeight="1">
      <c r="B124" s="25">
        <v>16.0</v>
      </c>
      <c r="C124" s="49"/>
      <c r="D124" s="50"/>
      <c r="E124" s="51"/>
      <c r="F124" s="52">
        <f>IFERROR(__xludf.DUMMYFUNCTION("""COMPUTED_VALUE"""),0.0)</f>
        <v>0</v>
      </c>
      <c r="G124" s="45"/>
      <c r="H124" s="31">
        <f t="shared" si="30"/>
        <v>0</v>
      </c>
      <c r="I124" s="31">
        <f t="shared" si="31"/>
        <v>0</v>
      </c>
      <c r="J124" s="32" t="str">
        <f t="shared" si="32"/>
        <v/>
      </c>
      <c r="K124" s="32"/>
      <c r="L124" s="33">
        <f t="shared" si="33"/>
        <v>0</v>
      </c>
      <c r="M124" s="32"/>
      <c r="N124" s="32"/>
      <c r="O124" s="34">
        <f t="shared" si="34"/>
        <v>0</v>
      </c>
      <c r="P124" s="44"/>
      <c r="Q124" s="44"/>
      <c r="R124" s="37">
        <f t="shared" si="35"/>
        <v>0</v>
      </c>
      <c r="S124" s="38">
        <f t="shared" si="36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49"/>
      <c r="D125" s="50"/>
      <c r="E125" s="51"/>
      <c r="F125" s="52">
        <f>IFERROR(__xludf.DUMMYFUNCTION("""COMPUTED_VALUE"""),0.0)</f>
        <v>0</v>
      </c>
      <c r="G125" s="45"/>
      <c r="H125" s="31">
        <f t="shared" si="30"/>
        <v>0</v>
      </c>
      <c r="I125" s="31">
        <f t="shared" si="31"/>
        <v>0</v>
      </c>
      <c r="J125" s="32" t="str">
        <f t="shared" si="32"/>
        <v/>
      </c>
      <c r="K125" s="32"/>
      <c r="L125" s="33">
        <f t="shared" si="33"/>
        <v>0</v>
      </c>
      <c r="M125" s="32"/>
      <c r="N125" s="32"/>
      <c r="O125" s="34">
        <f t="shared" si="34"/>
        <v>0</v>
      </c>
      <c r="P125" s="44"/>
      <c r="Q125" s="44"/>
      <c r="R125" s="37">
        <f t="shared" si="35"/>
        <v>0</v>
      </c>
      <c r="S125" s="38">
        <f t="shared" si="36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0"/>
        <v>0</v>
      </c>
      <c r="I126" s="31">
        <f t="shared" si="31"/>
        <v>0</v>
      </c>
      <c r="J126" s="32" t="str">
        <f t="shared" si="32"/>
        <v/>
      </c>
      <c r="K126" s="32"/>
      <c r="L126" s="33">
        <f t="shared" si="33"/>
        <v>0</v>
      </c>
      <c r="M126" s="32"/>
      <c r="N126" s="32"/>
      <c r="O126" s="34">
        <f t="shared" si="34"/>
        <v>0</v>
      </c>
      <c r="P126" s="44"/>
      <c r="Q126" s="44"/>
      <c r="R126" s="37">
        <f t="shared" si="35"/>
        <v>0</v>
      </c>
      <c r="S126" s="38">
        <f t="shared" si="36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0"/>
        <v>0</v>
      </c>
      <c r="I127" s="31">
        <f t="shared" si="31"/>
        <v>0</v>
      </c>
      <c r="J127" s="32" t="str">
        <f t="shared" si="32"/>
        <v/>
      </c>
      <c r="K127" s="32"/>
      <c r="L127" s="33">
        <f t="shared" si="33"/>
        <v>0</v>
      </c>
      <c r="M127" s="32"/>
      <c r="N127" s="32"/>
      <c r="O127" s="34">
        <f t="shared" si="34"/>
        <v>0</v>
      </c>
      <c r="P127" s="44"/>
      <c r="Q127" s="44"/>
      <c r="R127" s="37">
        <f t="shared" si="35"/>
        <v>0</v>
      </c>
      <c r="S127" s="38">
        <f t="shared" si="36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0"/>
        <v>0</v>
      </c>
      <c r="I128" s="31">
        <f t="shared" si="31"/>
        <v>0</v>
      </c>
      <c r="J128" s="32" t="str">
        <f t="shared" si="32"/>
        <v/>
      </c>
      <c r="K128" s="32"/>
      <c r="L128" s="33">
        <f t="shared" si="33"/>
        <v>0</v>
      </c>
      <c r="M128" s="32"/>
      <c r="N128" s="32"/>
      <c r="O128" s="34">
        <f t="shared" si="34"/>
        <v>0</v>
      </c>
      <c r="P128" s="44"/>
      <c r="Q128" s="44"/>
      <c r="R128" s="37">
        <f t="shared" si="35"/>
        <v>0</v>
      </c>
      <c r="S128" s="38">
        <f t="shared" si="36"/>
        <v>0</v>
      </c>
      <c r="T128" s="51"/>
      <c r="U128" s="42">
        <f>IFERROR(__xludf.DUMMYFUNCTION("""COMPUTED_VALUE"""),0.0)</f>
        <v>0</v>
      </c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0"/>
        <v>0</v>
      </c>
      <c r="I129" s="31">
        <f t="shared" si="31"/>
        <v>0</v>
      </c>
      <c r="J129" s="32" t="str">
        <f t="shared" si="32"/>
        <v/>
      </c>
      <c r="K129" s="32"/>
      <c r="L129" s="33">
        <f t="shared" si="33"/>
        <v>0</v>
      </c>
      <c r="M129" s="32"/>
      <c r="N129" s="32"/>
      <c r="O129" s="34">
        <f t="shared" si="34"/>
        <v>0</v>
      </c>
      <c r="P129" s="44"/>
      <c r="Q129" s="44"/>
      <c r="R129" s="37">
        <f t="shared" si="35"/>
        <v>0</v>
      </c>
      <c r="S129" s="38">
        <f t="shared" si="36"/>
        <v>0</v>
      </c>
      <c r="T129" s="51"/>
      <c r="U129" s="42"/>
    </row>
    <row r="130" ht="37.5" customHeight="1">
      <c r="B130" s="25">
        <v>22.0</v>
      </c>
      <c r="C130" s="49"/>
      <c r="D130" s="51"/>
      <c r="E130" s="51"/>
      <c r="F130" s="42"/>
      <c r="G130" s="53"/>
      <c r="H130" s="31">
        <f t="shared" si="30"/>
        <v>0</v>
      </c>
      <c r="I130" s="31">
        <f t="shared" si="31"/>
        <v>0</v>
      </c>
      <c r="J130" s="32" t="str">
        <f t="shared" si="32"/>
        <v/>
      </c>
      <c r="K130" s="32"/>
      <c r="L130" s="33">
        <f t="shared" si="33"/>
        <v>0</v>
      </c>
      <c r="M130" s="32"/>
      <c r="N130" s="32"/>
      <c r="O130" s="34">
        <f t="shared" si="34"/>
        <v>0</v>
      </c>
      <c r="P130" s="44"/>
      <c r="Q130" s="44"/>
      <c r="R130" s="37">
        <f t="shared" si="35"/>
        <v>0</v>
      </c>
      <c r="S130" s="38">
        <f t="shared" si="36"/>
        <v>0</v>
      </c>
      <c r="T130" s="51"/>
      <c r="U130" s="42"/>
    </row>
    <row r="131" ht="37.5" customHeight="1">
      <c r="B131" s="54"/>
      <c r="F131" s="55" t="s">
        <v>21</v>
      </c>
      <c r="S131" s="56">
        <f>SUM(S109:S130)</f>
        <v>2680000</v>
      </c>
      <c r="T131" s="57"/>
      <c r="U131" s="58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>
      <c r="B133" s="67" t="s">
        <v>21</v>
      </c>
      <c r="F133" s="68">
        <f>S31+S56+S81+S106+S131</f>
        <v>18785000</v>
      </c>
      <c r="T133" s="69"/>
    </row>
  </sheetData>
  <mergeCells count="25">
    <mergeCell ref="B2:E3"/>
    <mergeCell ref="F2:U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2.13"/>
    <col customWidth="1" min="4" max="4" width="25.88"/>
    <col customWidth="1" min="5" max="5" width="23.13"/>
    <col customWidth="1" min="6" max="6" width="23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1">
      <c r="A1" s="124" t="s">
        <v>23</v>
      </c>
    </row>
    <row r="2" ht="27.0" customHeight="1">
      <c r="B2" s="1">
        <f>IFERROR(__xludf.DUMMYFUNCTION("IMPORTRANGE(""https://docs.google.com/spreadsheets/d/17TnzcKnlaqlAyM_3lnNpgK5CAOPbscCCRVH50X8UulY/edit?usp=sharing"",""MEI!B2"")"),46143.0)</f>
        <v>46143</v>
      </c>
      <c r="C2" s="2"/>
      <c r="D2" s="2"/>
      <c r="E2" s="3"/>
      <c r="F2" s="126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29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129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IFERROR(__xludf.DUMMYFUNCTION("IMPORTRANGE(""https://docs.google.com/spreadsheets/d/17TnzcKnlaqlAyM_3lnNpgK5CAOPbscCCRVH50X8UulY/edit?usp=sharing"",""MEI!B6"")"),"TANGGAL : 1-2 MEI 2026")</f>
        <v>TANGGAL : 1-2 MEI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IFERROR(__xludf.DUMMYFUNCTION("IMPORTRANGE(""https://docs.google.com/spreadsheets/d/17TnzcKnlaqlAyM_3lnNpgK5CAOPbscCCRVH50X8UulY/edit?usp=sharing"",""MEI!B7:D26"")"),"EPUL")</f>
        <v>EPUL</v>
      </c>
      <c r="D9" s="27" t="str">
        <f>IFERROR(__xludf.DUMMYFUNCTION("""COMPUTED_VALUE"""),"KEPALA")</f>
        <v>KEPALA</v>
      </c>
      <c r="E9" s="28"/>
      <c r="F9" s="52">
        <f>IFERROR(__xludf.DUMMYFUNCTION("IMPORTRANGE(""https://docs.google.com/spreadsheets/d/17TnzcKnlaqlAyM_3lnNpgK5CAOPbscCCRVH50X8UulY/edit?usp=sharing"",""MEI!K7:K25"")"),2.0)</f>
        <v>2</v>
      </c>
      <c r="G9" s="128">
        <v>110000.0</v>
      </c>
      <c r="H9" s="31">
        <f t="shared" ref="H9:H30" si="1">F9*G9</f>
        <v>220000</v>
      </c>
      <c r="I9" s="31">
        <f t="shared" ref="I9:I30" si="2">F9*10000</f>
        <v>20000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240000</v>
      </c>
      <c r="P9" s="44"/>
      <c r="Q9" s="44"/>
      <c r="R9" s="37">
        <f t="shared" ref="R9:R30" si="6">SUM(P9:Q9)</f>
        <v>0</v>
      </c>
      <c r="S9" s="38">
        <f t="shared" ref="S9:S30" si="7">O9-R9</f>
        <v>240000</v>
      </c>
      <c r="T9" s="39" t="str">
        <f>IFERROR(__xludf.DUMMYFUNCTION("IMPORTRANGE(""https://docs.google.com/spreadsheets/d/17TnzcKnlaqlAyM_3lnNpgK5CAOPbscCCRVH50X8UulY/edit?usp=sharing"",""MEI!L7:L26"")"),"")</f>
        <v/>
      </c>
      <c r="U9" s="42">
        <f>IFERROR(__xludf.DUMMYFUNCTION("IMPORTRANGE(""https://docs.google.com/spreadsheets/d/17TnzcKnlaqlAyM_3lnNpgK5CAOPbscCCRVH50X8UulY/edit?usp=sharing"",""MEI!U7:U26"")"),0.0)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/>
      <c r="F10" s="52">
        <f>IFERROR(__xludf.DUMMYFUNCTION("""COMPUTED_VALUE"""),2.0)</f>
        <v>2</v>
      </c>
      <c r="G10" s="128">
        <v>70000.0</v>
      </c>
      <c r="H10" s="31">
        <f t="shared" si="1"/>
        <v>140000</v>
      </c>
      <c r="I10" s="31">
        <f t="shared" si="2"/>
        <v>20000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160000</v>
      </c>
      <c r="P10" s="44"/>
      <c r="Q10" s="44"/>
      <c r="R10" s="37">
        <f t="shared" si="6"/>
        <v>0</v>
      </c>
      <c r="S10" s="38">
        <f t="shared" si="7"/>
        <v>160000</v>
      </c>
      <c r="T10" s="3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/>
      <c r="D11" s="27" t="str">
        <f>IFERROR(__xludf.DUMMYFUNCTION("""COMPUTED_VALUE"""),"ADMIN")</f>
        <v>ADMIN</v>
      </c>
      <c r="E11" s="28"/>
      <c r="F11" s="52">
        <f>IFERROR(__xludf.DUMMYFUNCTION("""COMPUTED_VALUE"""),0.0)</f>
        <v>0</v>
      </c>
      <c r="G11" s="128">
        <v>70000.0</v>
      </c>
      <c r="H11" s="31">
        <f t="shared" si="1"/>
        <v>0</v>
      </c>
      <c r="I11" s="31">
        <f t="shared" si="2"/>
        <v>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0</v>
      </c>
      <c r="P11" s="44"/>
      <c r="Q11" s="44"/>
      <c r="R11" s="37">
        <f t="shared" si="6"/>
        <v>0</v>
      </c>
      <c r="S11" s="38">
        <f t="shared" si="7"/>
        <v>0</v>
      </c>
      <c r="T11" s="3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IFERROR(__xludf.DUMMYFUNCTION("""COMPUTED_VALUE"""),"ANDRI")</f>
        <v>ANDRI</v>
      </c>
      <c r="D12" s="27" t="str">
        <f>IFERROR(__xludf.DUMMYFUNCTION("""COMPUTED_VALUE"""),"DESIGN BORDIR")</f>
        <v>DESIGN BORDIR</v>
      </c>
      <c r="E12" s="28"/>
      <c r="F12" s="52">
        <f>IFERROR(__xludf.DUMMYFUNCTION("""COMPUTED_VALUE"""),0.0)</f>
        <v>0</v>
      </c>
      <c r="G12" s="128">
        <v>70000.0</v>
      </c>
      <c r="H12" s="31">
        <f t="shared" si="1"/>
        <v>0</v>
      </c>
      <c r="I12" s="31">
        <f t="shared" si="2"/>
        <v>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0</v>
      </c>
      <c r="P12" s="36"/>
      <c r="Q12" s="36"/>
      <c r="R12" s="37">
        <f t="shared" si="6"/>
        <v>0</v>
      </c>
      <c r="S12" s="38">
        <f t="shared" si="7"/>
        <v>0</v>
      </c>
      <c r="T12" s="39"/>
      <c r="U12" s="42">
        <f>IFERROR(__xludf.DUMMYFUNCTION("""COMPUTED_VALUE"""),0.0)</f>
        <v>0</v>
      </c>
      <c r="V12" s="24"/>
      <c r="W12" s="24"/>
    </row>
    <row r="13" ht="37.5" customHeight="1">
      <c r="A13" s="24"/>
      <c r="B13" s="25">
        <v>5.0</v>
      </c>
      <c r="C13" s="26" t="str">
        <f>IFERROR(__xludf.DUMMYFUNCTION("""COMPUTED_VALUE"""),"ADIT")</f>
        <v>ADIT</v>
      </c>
      <c r="D13" s="27" t="str">
        <f>IFERROR(__xludf.DUMMYFUNCTION("""COMPUTED_VALUE"""),"CREATOR")</f>
        <v>CREATOR</v>
      </c>
      <c r="E13" s="28"/>
      <c r="F13" s="52">
        <f>IFERROR(__xludf.DUMMYFUNCTION("""COMPUTED_VALUE"""),2.0)</f>
        <v>2</v>
      </c>
      <c r="G13" s="128">
        <v>50000.0</v>
      </c>
      <c r="H13" s="31">
        <f t="shared" si="1"/>
        <v>100000</v>
      </c>
      <c r="I13" s="31">
        <f t="shared" si="2"/>
        <v>20000</v>
      </c>
      <c r="J13" s="32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120000</v>
      </c>
      <c r="P13" s="36"/>
      <c r="Q13" s="36"/>
      <c r="R13" s="37">
        <f t="shared" si="6"/>
        <v>0</v>
      </c>
      <c r="S13" s="38">
        <f t="shared" si="7"/>
        <v>120000</v>
      </c>
      <c r="T13" s="39"/>
      <c r="U13" s="42">
        <f>IFERROR(__xludf.DUMMYFUNCTION("""COMPUTED_VALUE"""),0.0)</f>
        <v>0</v>
      </c>
      <c r="V13" s="24"/>
      <c r="W13" s="24"/>
    </row>
    <row r="14" ht="37.5" customHeight="1">
      <c r="A14" s="24"/>
      <c r="B14" s="25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/>
      <c r="F14" s="52">
        <f>IFERROR(__xludf.DUMMYFUNCTION("""COMPUTED_VALUE"""),2.0)</f>
        <v>2</v>
      </c>
      <c r="G14" s="128">
        <v>70000.0</v>
      </c>
      <c r="H14" s="31">
        <f t="shared" si="1"/>
        <v>140000</v>
      </c>
      <c r="I14" s="31">
        <f t="shared" si="2"/>
        <v>20000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160000</v>
      </c>
      <c r="P14" s="35"/>
      <c r="Q14" s="36"/>
      <c r="R14" s="37">
        <f t="shared" si="6"/>
        <v>0</v>
      </c>
      <c r="S14" s="38">
        <f t="shared" si="7"/>
        <v>160000</v>
      </c>
      <c r="T14" s="39"/>
      <c r="U14" s="42">
        <f>IFERROR(__xludf.DUMMYFUNCTION("""COMPUTED_VALUE"""),0.0)</f>
        <v>0</v>
      </c>
      <c r="V14" s="24"/>
      <c r="W14" s="24"/>
    </row>
    <row r="15" ht="37.5" customHeight="1">
      <c r="A15" s="24"/>
      <c r="B15" s="25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/>
      <c r="F15" s="52">
        <f>IFERROR(__xludf.DUMMYFUNCTION("""COMPUTED_VALUE"""),2.0)</f>
        <v>2</v>
      </c>
      <c r="G15" s="128">
        <v>70000.0</v>
      </c>
      <c r="H15" s="31">
        <f t="shared" si="1"/>
        <v>140000</v>
      </c>
      <c r="I15" s="31">
        <f t="shared" si="2"/>
        <v>20000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160000</v>
      </c>
      <c r="P15" s="36"/>
      <c r="Q15" s="36"/>
      <c r="R15" s="37">
        <f t="shared" si="6"/>
        <v>0</v>
      </c>
      <c r="S15" s="38">
        <f t="shared" si="7"/>
        <v>160000</v>
      </c>
      <c r="T15" s="39"/>
      <c r="U15" s="42">
        <f>IFERROR(__xludf.DUMMYFUNCTION("""COMPUTED_VALUE"""),0.0)</f>
        <v>0</v>
      </c>
      <c r="V15" s="24"/>
      <c r="W15" s="24"/>
    </row>
    <row r="16" ht="37.5" customHeight="1">
      <c r="A16" s="24"/>
      <c r="B16" s="25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/>
      <c r="F16" s="52">
        <f>IFERROR(__xludf.DUMMYFUNCTION("""COMPUTED_VALUE"""),2.0)</f>
        <v>2</v>
      </c>
      <c r="G16" s="128">
        <v>50000.0</v>
      </c>
      <c r="H16" s="31">
        <f t="shared" si="1"/>
        <v>100000</v>
      </c>
      <c r="I16" s="31">
        <f t="shared" si="2"/>
        <v>20000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120000</v>
      </c>
      <c r="P16" s="36"/>
      <c r="Q16" s="36"/>
      <c r="R16" s="37">
        <f t="shared" si="6"/>
        <v>0</v>
      </c>
      <c r="S16" s="38">
        <f t="shared" si="7"/>
        <v>120000</v>
      </c>
      <c r="T16" s="39"/>
      <c r="U16" s="42">
        <f>IFERROR(__xludf.DUMMYFUNCTION("""COMPUTED_VALUE"""),0.0)</f>
        <v>0</v>
      </c>
      <c r="V16" s="24"/>
      <c r="W16" s="24"/>
    </row>
    <row r="17" ht="37.5" customHeight="1">
      <c r="A17" s="24"/>
      <c r="B17" s="25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28"/>
      <c r="F17" s="52">
        <f>IFERROR(__xludf.DUMMYFUNCTION("""COMPUTED_VALUE"""),2.0)</f>
        <v>2</v>
      </c>
      <c r="G17" s="128">
        <v>50000.0</v>
      </c>
      <c r="H17" s="31">
        <f t="shared" si="1"/>
        <v>100000</v>
      </c>
      <c r="I17" s="31">
        <f t="shared" si="2"/>
        <v>20000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120000</v>
      </c>
      <c r="P17" s="36"/>
      <c r="Q17" s="36"/>
      <c r="R17" s="37">
        <f t="shared" si="6"/>
        <v>0</v>
      </c>
      <c r="S17" s="38">
        <f t="shared" si="7"/>
        <v>120000</v>
      </c>
      <c r="T17" s="39"/>
      <c r="U17" s="42">
        <f>IFERROR(__xludf.DUMMYFUNCTION("""COMPUTED_VALUE"""),0.0)</f>
        <v>0</v>
      </c>
      <c r="V17" s="24"/>
      <c r="W17" s="24"/>
    </row>
    <row r="18" ht="37.5" customHeight="1">
      <c r="A18" s="24"/>
      <c r="B18" s="25">
        <v>10.0</v>
      </c>
      <c r="C18" s="26" t="str">
        <f>IFERROR(__xludf.DUMMYFUNCTION("""COMPUTED_VALUE"""),"IIS")</f>
        <v>IIS</v>
      </c>
      <c r="D18" s="27" t="str">
        <f>IFERROR(__xludf.DUMMYFUNCTION("""COMPUTED_VALUE"""),"PACKING")</f>
        <v>PACKING</v>
      </c>
      <c r="E18" s="28"/>
      <c r="F18" s="52">
        <f>IFERROR(__xludf.DUMMYFUNCTION("""COMPUTED_VALUE"""),2.0)</f>
        <v>2</v>
      </c>
      <c r="G18" s="128">
        <v>70000.0</v>
      </c>
      <c r="H18" s="31">
        <f t="shared" si="1"/>
        <v>140000</v>
      </c>
      <c r="I18" s="31">
        <f t="shared" si="2"/>
        <v>20000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160000</v>
      </c>
      <c r="P18" s="36"/>
      <c r="Q18" s="36"/>
      <c r="R18" s="37">
        <f t="shared" si="6"/>
        <v>0</v>
      </c>
      <c r="S18" s="38">
        <f t="shared" si="7"/>
        <v>160000</v>
      </c>
      <c r="T18" s="39"/>
      <c r="U18" s="42">
        <f>IFERROR(__xludf.DUMMYFUNCTION("""COMPUTED_VALUE"""),0.0)</f>
        <v>0</v>
      </c>
      <c r="V18" s="2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36"/>
      <c r="Q19" s="36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24"/>
      <c r="W19" s="24"/>
    </row>
    <row r="20" ht="37.5" customHeight="1">
      <c r="A20" s="24"/>
      <c r="B20" s="25">
        <v>12.0</v>
      </c>
      <c r="C20" s="49"/>
      <c r="D20" s="50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36"/>
      <c r="Q20" s="36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2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/>
      <c r="K21" s="32"/>
      <c r="L21" s="33">
        <f t="shared" si="4"/>
        <v>0</v>
      </c>
      <c r="M21" s="32"/>
      <c r="N21" s="32"/>
      <c r="O21" s="34">
        <f t="shared" si="5"/>
        <v>0</v>
      </c>
      <c r="P21" s="36"/>
      <c r="Q21" s="36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2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>IF(E22="SHIFT 2",I22,"")</f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36"/>
      <c r="Q22" s="36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2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2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24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8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24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8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24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8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8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8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8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A31" s="24"/>
      <c r="B31" s="54"/>
      <c r="F31" s="55" t="s">
        <v>21</v>
      </c>
      <c r="S31" s="56">
        <f>SUM(S9:S30)</f>
        <v>1240000</v>
      </c>
      <c r="T31" s="57"/>
      <c r="U31" s="58"/>
      <c r="V31" s="24"/>
      <c r="W31" s="24"/>
    </row>
    <row r="32" ht="37.5" customHeight="1">
      <c r="A32" s="24"/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24"/>
      <c r="W32" s="24"/>
    </row>
    <row r="33" ht="37.5" customHeight="1">
      <c r="A33" s="24"/>
      <c r="B33" s="21" t="str">
        <f>IFERROR(__xludf.DUMMYFUNCTION("IMPORTRANGE(""https://docs.google.com/spreadsheets/d/17TnzcKnlaqlAyM_3lnNpgK5CAOPbscCCRVH50X8UulY/edit?usp=sharing"",""MEI!B28"")"),"TANGGAL : 4-9 MEI 2026")</f>
        <v>TANGGAL : 4-9 MEI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IFERROR(__xludf.DUMMYFUNCTION("IMPORTRANGE(""https://docs.google.com/spreadsheets/d/17TnzcKnlaqlAyM_3lnNpgK5CAOPbscCCRVH50X8UulY/edit?usp=sharing"",""MEI!B29:D48"")"),"EPUL")</f>
        <v>EPUL</v>
      </c>
      <c r="D34" s="27" t="str">
        <f>IFERROR(__xludf.DUMMYFUNCTION("""COMPUTED_VALUE"""),"KEPALA")</f>
        <v>KEPALA</v>
      </c>
      <c r="E34" s="28"/>
      <c r="F34" s="52">
        <f>IFERROR(__xludf.DUMMYFUNCTION("IMPORTRANGE(""https://docs.google.com/spreadsheets/d/17TnzcKnlaqlAyM_3lnNpgK5CAOPbscCCRVH50X8UulY/edit?usp=sharing"",""MEI!K29:K47"")"),6.0)</f>
        <v>6</v>
      </c>
      <c r="G34" s="130">
        <v>110000.0</v>
      </c>
      <c r="H34" s="31">
        <f t="shared" ref="H34:H55" si="9">F34*G34</f>
        <v>660000</v>
      </c>
      <c r="I34" s="31">
        <f t="shared" ref="I34:I55" si="10">F34*10000</f>
        <v>60000</v>
      </c>
      <c r="J34" s="32" t="str">
        <f t="shared" ref="J34:J55" si="11">IF(E34="SHIFT 2",I34,"")</f>
        <v/>
      </c>
      <c r="K34" s="32"/>
      <c r="L34" s="33">
        <f t="shared" ref="L34:L55" si="12">U34*$L$33</f>
        <v>0</v>
      </c>
      <c r="M34" s="32"/>
      <c r="N34" s="32"/>
      <c r="O34" s="34">
        <f t="shared" ref="O34:O55" si="13">SUM(H34:N34)</f>
        <v>720000</v>
      </c>
      <c r="P34" s="44"/>
      <c r="Q34" s="44"/>
      <c r="R34" s="37">
        <f t="shared" ref="R34:R55" si="14">SUM(P34:Q34)</f>
        <v>0</v>
      </c>
      <c r="S34" s="38">
        <f t="shared" ref="S34:S55" si="15">O34-R34</f>
        <v>720000</v>
      </c>
      <c r="T34" s="39" t="str">
        <f>IFERROR(__xludf.DUMMYFUNCTION("IMPORTRANGE(""https://docs.google.com/spreadsheets/d/17TnzcKnlaqlAyM_3lnNpgK5CAOPbscCCRVH50X8UulY/edit?usp=sharing"",""MEI!L29:L48"")"),"")</f>
        <v/>
      </c>
      <c r="U34" s="42">
        <f>IFERROR(__xludf.DUMMYFUNCTION("IMPORTRANGE(""https://docs.google.com/spreadsheets/d/17TnzcKnlaqlAyM_3lnNpgK5CAOPbscCCRVH50X8UulY/edit?usp=sharing"",""MEI!U29:U48"")"),0.0)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/>
      <c r="F35" s="52">
        <f>IFERROR(__xludf.DUMMYFUNCTION("""COMPUTED_VALUE"""),6.0)</f>
        <v>6</v>
      </c>
      <c r="G35" s="130">
        <v>70000.0</v>
      </c>
      <c r="H35" s="31">
        <f t="shared" si="9"/>
        <v>420000</v>
      </c>
      <c r="I35" s="31">
        <f t="shared" si="10"/>
        <v>60000</v>
      </c>
      <c r="J35" s="32" t="str">
        <f t="shared" si="11"/>
        <v/>
      </c>
      <c r="K35" s="41"/>
      <c r="L35" s="33">
        <f t="shared" si="12"/>
        <v>0</v>
      </c>
      <c r="M35" s="41"/>
      <c r="N35" s="41"/>
      <c r="O35" s="34">
        <f t="shared" si="13"/>
        <v>480000</v>
      </c>
      <c r="P35" s="44"/>
      <c r="Q35" s="44"/>
      <c r="R35" s="37">
        <f t="shared" si="14"/>
        <v>0</v>
      </c>
      <c r="S35" s="38">
        <f t="shared" si="15"/>
        <v>480000</v>
      </c>
      <c r="T35" s="39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/>
      <c r="D36" s="27" t="str">
        <f>IFERROR(__xludf.DUMMYFUNCTION("""COMPUTED_VALUE"""),"ADMIN")</f>
        <v>ADMIN</v>
      </c>
      <c r="E36" s="28"/>
      <c r="F36" s="52">
        <f>IFERROR(__xludf.DUMMYFUNCTION("""COMPUTED_VALUE"""),0.0)</f>
        <v>0</v>
      </c>
      <c r="G36" s="130">
        <v>70000.0</v>
      </c>
      <c r="H36" s="31">
        <f t="shared" si="9"/>
        <v>0</v>
      </c>
      <c r="I36" s="31">
        <f t="shared" si="10"/>
        <v>0</v>
      </c>
      <c r="J36" s="32" t="str">
        <f t="shared" si="11"/>
        <v/>
      </c>
      <c r="K36" s="41"/>
      <c r="L36" s="33">
        <f t="shared" si="12"/>
        <v>0</v>
      </c>
      <c r="M36" s="41"/>
      <c r="N36" s="41"/>
      <c r="O36" s="34">
        <f t="shared" si="13"/>
        <v>0</v>
      </c>
      <c r="P36" s="44"/>
      <c r="Q36" s="44"/>
      <c r="R36" s="37">
        <f t="shared" si="14"/>
        <v>0</v>
      </c>
      <c r="S36" s="38">
        <f t="shared" si="15"/>
        <v>0</v>
      </c>
      <c r="T36" s="39"/>
      <c r="U36" s="42">
        <f>IFERROR(__xludf.DUMMYFUNCTION("""COMPUTED_VALUE"""),0.0)</f>
        <v>0</v>
      </c>
      <c r="V36" s="24"/>
      <c r="W36" s="24"/>
    </row>
    <row r="37" ht="37.5" customHeight="1">
      <c r="B37" s="25">
        <v>4.0</v>
      </c>
      <c r="C37" s="26" t="str">
        <f>IFERROR(__xludf.DUMMYFUNCTION("""COMPUTED_VALUE"""),"ANDRI")</f>
        <v>ANDRI</v>
      </c>
      <c r="D37" s="27" t="str">
        <f>IFERROR(__xludf.DUMMYFUNCTION("""COMPUTED_VALUE"""),"DESIGN BORDIR")</f>
        <v>DESIGN BORDIR</v>
      </c>
      <c r="E37" s="28"/>
      <c r="F37" s="52">
        <f>IFERROR(__xludf.DUMMYFUNCTION("""COMPUTED_VALUE"""),6.0)</f>
        <v>6</v>
      </c>
      <c r="G37" s="130">
        <v>70000.0</v>
      </c>
      <c r="H37" s="31">
        <f t="shared" si="9"/>
        <v>420000</v>
      </c>
      <c r="I37" s="31">
        <f t="shared" si="10"/>
        <v>60000</v>
      </c>
      <c r="J37" s="32" t="str">
        <f t="shared" si="11"/>
        <v/>
      </c>
      <c r="K37" s="32"/>
      <c r="L37" s="33">
        <f t="shared" si="12"/>
        <v>0</v>
      </c>
      <c r="M37" s="32"/>
      <c r="N37" s="32"/>
      <c r="O37" s="34">
        <f t="shared" si="13"/>
        <v>480000</v>
      </c>
      <c r="P37" s="127"/>
      <c r="Q37" s="44"/>
      <c r="R37" s="37">
        <f t="shared" si="14"/>
        <v>0</v>
      </c>
      <c r="S37" s="38">
        <f t="shared" si="15"/>
        <v>480000</v>
      </c>
      <c r="T37" s="39"/>
      <c r="U37" s="42">
        <f>IFERROR(__xludf.DUMMYFUNCTION("""COMPUTED_VALUE"""),0.0)</f>
        <v>0</v>
      </c>
    </row>
    <row r="38" ht="37.5" customHeight="1">
      <c r="A38" s="24"/>
      <c r="B38" s="25">
        <v>5.0</v>
      </c>
      <c r="C38" s="26" t="str">
        <f>IFERROR(__xludf.DUMMYFUNCTION("""COMPUTED_VALUE"""),"ADIT")</f>
        <v>ADIT</v>
      </c>
      <c r="D38" s="27" t="str">
        <f>IFERROR(__xludf.DUMMYFUNCTION("""COMPUTED_VALUE"""),"CREATOR")</f>
        <v>CREATOR</v>
      </c>
      <c r="E38" s="28"/>
      <c r="F38" s="52">
        <f>IFERROR(__xludf.DUMMYFUNCTION("""COMPUTED_VALUE"""),5.0)</f>
        <v>5</v>
      </c>
      <c r="G38" s="130">
        <v>50000.0</v>
      </c>
      <c r="H38" s="31">
        <f t="shared" si="9"/>
        <v>250000</v>
      </c>
      <c r="I38" s="31">
        <f t="shared" si="10"/>
        <v>50000</v>
      </c>
      <c r="J38" s="32" t="str">
        <f t="shared" si="11"/>
        <v/>
      </c>
      <c r="K38" s="32"/>
      <c r="L38" s="33">
        <f t="shared" si="12"/>
        <v>0</v>
      </c>
      <c r="M38" s="32"/>
      <c r="N38" s="32"/>
      <c r="O38" s="34">
        <f t="shared" si="13"/>
        <v>300000</v>
      </c>
      <c r="P38" s="44"/>
      <c r="Q38" s="44"/>
      <c r="R38" s="37">
        <f t="shared" si="14"/>
        <v>0</v>
      </c>
      <c r="S38" s="38">
        <f t="shared" si="15"/>
        <v>300000</v>
      </c>
      <c r="T38" s="39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/>
      <c r="F39" s="52">
        <f>IFERROR(__xludf.DUMMYFUNCTION("""COMPUTED_VALUE"""),6.0)</f>
        <v>6</v>
      </c>
      <c r="G39" s="130">
        <v>70000.0</v>
      </c>
      <c r="H39" s="31">
        <f t="shared" si="9"/>
        <v>420000</v>
      </c>
      <c r="I39" s="31">
        <f t="shared" si="10"/>
        <v>60000</v>
      </c>
      <c r="J39" s="32" t="str">
        <f t="shared" si="11"/>
        <v/>
      </c>
      <c r="K39" s="32"/>
      <c r="L39" s="33">
        <f t="shared" si="12"/>
        <v>0</v>
      </c>
      <c r="M39" s="32"/>
      <c r="N39" s="32"/>
      <c r="O39" s="34">
        <f t="shared" si="13"/>
        <v>480000</v>
      </c>
      <c r="P39" s="127"/>
      <c r="Q39" s="44"/>
      <c r="R39" s="37">
        <f t="shared" si="14"/>
        <v>0</v>
      </c>
      <c r="S39" s="38">
        <f t="shared" si="15"/>
        <v>480000</v>
      </c>
      <c r="T39" s="39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/>
      <c r="F40" s="52">
        <f>IFERROR(__xludf.DUMMYFUNCTION("""COMPUTED_VALUE"""),6.0)</f>
        <v>6</v>
      </c>
      <c r="G40" s="130">
        <v>70000.0</v>
      </c>
      <c r="H40" s="31">
        <f t="shared" si="9"/>
        <v>420000</v>
      </c>
      <c r="I40" s="31">
        <f t="shared" si="10"/>
        <v>60000</v>
      </c>
      <c r="J40" s="32" t="str">
        <f t="shared" si="11"/>
        <v/>
      </c>
      <c r="K40" s="32"/>
      <c r="L40" s="33">
        <f t="shared" si="12"/>
        <v>0</v>
      </c>
      <c r="M40" s="32"/>
      <c r="N40" s="32"/>
      <c r="O40" s="34">
        <f t="shared" si="13"/>
        <v>480000</v>
      </c>
      <c r="P40" s="44"/>
      <c r="Q40" s="44"/>
      <c r="R40" s="37">
        <f t="shared" si="14"/>
        <v>0</v>
      </c>
      <c r="S40" s="38">
        <f t="shared" si="15"/>
        <v>480000</v>
      </c>
      <c r="T40" s="39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/>
      <c r="F41" s="52">
        <f>IFERROR(__xludf.DUMMYFUNCTION("""COMPUTED_VALUE"""),6.0)</f>
        <v>6</v>
      </c>
      <c r="G41" s="130">
        <v>50000.0</v>
      </c>
      <c r="H41" s="31">
        <f t="shared" si="9"/>
        <v>300000</v>
      </c>
      <c r="I41" s="31">
        <f t="shared" si="10"/>
        <v>60000</v>
      </c>
      <c r="J41" s="32" t="str">
        <f t="shared" si="11"/>
        <v/>
      </c>
      <c r="K41" s="32"/>
      <c r="L41" s="33">
        <f t="shared" si="12"/>
        <v>0</v>
      </c>
      <c r="M41" s="32"/>
      <c r="N41" s="32"/>
      <c r="O41" s="34">
        <f t="shared" si="13"/>
        <v>360000</v>
      </c>
      <c r="P41" s="44"/>
      <c r="Q41" s="44"/>
      <c r="R41" s="37">
        <f t="shared" si="14"/>
        <v>0</v>
      </c>
      <c r="S41" s="38">
        <f t="shared" si="15"/>
        <v>360000</v>
      </c>
      <c r="T41" s="39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/>
      <c r="F42" s="52">
        <f>IFERROR(__xludf.DUMMYFUNCTION("""COMPUTED_VALUE"""),6.0)</f>
        <v>6</v>
      </c>
      <c r="G42" s="130">
        <v>50000.0</v>
      </c>
      <c r="H42" s="31">
        <f t="shared" si="9"/>
        <v>300000</v>
      </c>
      <c r="I42" s="31">
        <f t="shared" si="10"/>
        <v>60000</v>
      </c>
      <c r="J42" s="32" t="str">
        <f t="shared" si="11"/>
        <v/>
      </c>
      <c r="K42" s="32"/>
      <c r="L42" s="33">
        <f t="shared" si="12"/>
        <v>0</v>
      </c>
      <c r="M42" s="32"/>
      <c r="N42" s="32"/>
      <c r="O42" s="34">
        <f t="shared" si="13"/>
        <v>360000</v>
      </c>
      <c r="P42" s="44"/>
      <c r="Q42" s="44"/>
      <c r="R42" s="37">
        <f t="shared" si="14"/>
        <v>0</v>
      </c>
      <c r="S42" s="38">
        <f t="shared" si="15"/>
        <v>360000</v>
      </c>
      <c r="T42" s="39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97" t="str">
        <f>IFERROR(__xludf.DUMMYFUNCTION("""COMPUTED_VALUE"""),"IIS")</f>
        <v>IIS</v>
      </c>
      <c r="D43" s="131" t="str">
        <f>IFERROR(__xludf.DUMMYFUNCTION("""COMPUTED_VALUE"""),"PACKING")</f>
        <v>PACKING</v>
      </c>
      <c r="E43" s="101"/>
      <c r="F43" s="86">
        <f>IFERROR(__xludf.DUMMYFUNCTION("""COMPUTED_VALUE"""),6.0)</f>
        <v>6</v>
      </c>
      <c r="G43" s="130">
        <v>70000.0</v>
      </c>
      <c r="H43" s="31">
        <f t="shared" si="9"/>
        <v>420000</v>
      </c>
      <c r="I43" s="31">
        <f t="shared" si="10"/>
        <v>60000</v>
      </c>
      <c r="J43" s="32" t="str">
        <f t="shared" si="11"/>
        <v/>
      </c>
      <c r="K43" s="32"/>
      <c r="L43" s="33">
        <f t="shared" si="12"/>
        <v>0</v>
      </c>
      <c r="M43" s="32"/>
      <c r="N43" s="32"/>
      <c r="O43" s="34">
        <f t="shared" si="13"/>
        <v>480000</v>
      </c>
      <c r="P43" s="44"/>
      <c r="Q43" s="44"/>
      <c r="R43" s="37">
        <f t="shared" si="14"/>
        <v>0</v>
      </c>
      <c r="S43" s="38">
        <f t="shared" si="15"/>
        <v>480000</v>
      </c>
      <c r="T43" s="39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9"/>
        <v>0</v>
      </c>
      <c r="I44" s="31">
        <f t="shared" si="10"/>
        <v>0</v>
      </c>
      <c r="J44" s="32" t="str">
        <f t="shared" si="11"/>
        <v/>
      </c>
      <c r="K44" s="32"/>
      <c r="L44" s="33">
        <f t="shared" si="12"/>
        <v>0</v>
      </c>
      <c r="M44" s="32"/>
      <c r="N44" s="32"/>
      <c r="O44" s="34">
        <f t="shared" si="13"/>
        <v>0</v>
      </c>
      <c r="P44" s="44"/>
      <c r="Q44" s="44"/>
      <c r="R44" s="37">
        <f t="shared" si="14"/>
        <v>0</v>
      </c>
      <c r="S44" s="38">
        <f t="shared" si="15"/>
        <v>0</v>
      </c>
      <c r="T44" s="39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49"/>
      <c r="D45" s="50"/>
      <c r="E45" s="51"/>
      <c r="F45" s="52">
        <f>IFERROR(__xludf.DUMMYFUNCTION("""COMPUTED_VALUE"""),0.0)</f>
        <v>0</v>
      </c>
      <c r="G45" s="45"/>
      <c r="H45" s="31">
        <f t="shared" si="9"/>
        <v>0</v>
      </c>
      <c r="I45" s="31">
        <f t="shared" si="10"/>
        <v>0</v>
      </c>
      <c r="J45" s="32" t="str">
        <f t="shared" si="11"/>
        <v/>
      </c>
      <c r="K45" s="32"/>
      <c r="L45" s="33">
        <f t="shared" si="12"/>
        <v>0</v>
      </c>
      <c r="M45" s="32"/>
      <c r="N45" s="32"/>
      <c r="O45" s="34">
        <f t="shared" si="13"/>
        <v>0</v>
      </c>
      <c r="P45" s="44"/>
      <c r="Q45" s="44"/>
      <c r="R45" s="37">
        <f t="shared" si="14"/>
        <v>0</v>
      </c>
      <c r="S45" s="38">
        <f t="shared" si="15"/>
        <v>0</v>
      </c>
      <c r="T45" s="39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9"/>
        <v>0</v>
      </c>
      <c r="I46" s="31">
        <f t="shared" si="10"/>
        <v>0</v>
      </c>
      <c r="J46" s="32" t="str">
        <f t="shared" si="11"/>
        <v/>
      </c>
      <c r="K46" s="32"/>
      <c r="L46" s="33">
        <f t="shared" si="12"/>
        <v>0</v>
      </c>
      <c r="M46" s="32"/>
      <c r="N46" s="32"/>
      <c r="O46" s="34">
        <f t="shared" si="13"/>
        <v>0</v>
      </c>
      <c r="P46" s="44"/>
      <c r="Q46" s="44"/>
      <c r="R46" s="37">
        <f t="shared" si="14"/>
        <v>0</v>
      </c>
      <c r="S46" s="38">
        <f t="shared" si="15"/>
        <v>0</v>
      </c>
      <c r="T46" s="39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9"/>
        <v>0</v>
      </c>
      <c r="I47" s="31">
        <f t="shared" si="10"/>
        <v>0</v>
      </c>
      <c r="J47" s="32" t="str">
        <f t="shared" si="11"/>
        <v/>
      </c>
      <c r="K47" s="32"/>
      <c r="L47" s="33">
        <f t="shared" si="12"/>
        <v>0</v>
      </c>
      <c r="M47" s="32"/>
      <c r="N47" s="32"/>
      <c r="O47" s="34">
        <f t="shared" si="13"/>
        <v>0</v>
      </c>
      <c r="P47" s="44"/>
      <c r="Q47" s="44"/>
      <c r="R47" s="37">
        <f t="shared" si="14"/>
        <v>0</v>
      </c>
      <c r="S47" s="38">
        <f t="shared" si="15"/>
        <v>0</v>
      </c>
      <c r="T47" s="39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9"/>
        <v>0</v>
      </c>
      <c r="I48" s="31">
        <f t="shared" si="10"/>
        <v>0</v>
      </c>
      <c r="J48" s="32" t="str">
        <f t="shared" si="11"/>
        <v/>
      </c>
      <c r="K48" s="32"/>
      <c r="L48" s="33">
        <f t="shared" si="12"/>
        <v>0</v>
      </c>
      <c r="M48" s="32"/>
      <c r="N48" s="32"/>
      <c r="O48" s="34">
        <f t="shared" si="13"/>
        <v>0</v>
      </c>
      <c r="P48" s="44"/>
      <c r="Q48" s="44"/>
      <c r="R48" s="37">
        <f t="shared" si="14"/>
        <v>0</v>
      </c>
      <c r="S48" s="38">
        <f t="shared" si="15"/>
        <v>0</v>
      </c>
      <c r="T48" s="39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9"/>
        <v>0</v>
      </c>
      <c r="I49" s="31">
        <f t="shared" si="10"/>
        <v>0</v>
      </c>
      <c r="J49" s="32" t="str">
        <f t="shared" si="11"/>
        <v/>
      </c>
      <c r="K49" s="32"/>
      <c r="L49" s="33">
        <f t="shared" si="12"/>
        <v>0</v>
      </c>
      <c r="M49" s="32"/>
      <c r="N49" s="32"/>
      <c r="O49" s="34">
        <f t="shared" si="13"/>
        <v>0</v>
      </c>
      <c r="P49" s="44"/>
      <c r="Q49" s="44"/>
      <c r="R49" s="37">
        <f t="shared" si="14"/>
        <v>0</v>
      </c>
      <c r="S49" s="38">
        <f t="shared" si="15"/>
        <v>0</v>
      </c>
      <c r="T49" s="39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9"/>
        <v>0</v>
      </c>
      <c r="I50" s="31">
        <f t="shared" si="10"/>
        <v>0</v>
      </c>
      <c r="J50" s="32" t="str">
        <f t="shared" si="11"/>
        <v/>
      </c>
      <c r="K50" s="32"/>
      <c r="L50" s="33">
        <f t="shared" si="12"/>
        <v>0</v>
      </c>
      <c r="M50" s="32"/>
      <c r="N50" s="32"/>
      <c r="O50" s="34">
        <f t="shared" si="13"/>
        <v>0</v>
      </c>
      <c r="P50" s="44"/>
      <c r="Q50" s="44"/>
      <c r="R50" s="37">
        <f t="shared" si="14"/>
        <v>0</v>
      </c>
      <c r="S50" s="38">
        <f t="shared" si="15"/>
        <v>0</v>
      </c>
      <c r="T50" s="39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9"/>
        <v>0</v>
      </c>
      <c r="I51" s="31">
        <f t="shared" si="10"/>
        <v>0</v>
      </c>
      <c r="J51" s="32" t="str">
        <f t="shared" si="11"/>
        <v/>
      </c>
      <c r="K51" s="32"/>
      <c r="L51" s="33">
        <f t="shared" si="12"/>
        <v>0</v>
      </c>
      <c r="M51" s="32"/>
      <c r="N51" s="32"/>
      <c r="O51" s="34">
        <f t="shared" si="13"/>
        <v>0</v>
      </c>
      <c r="P51" s="44"/>
      <c r="Q51" s="44"/>
      <c r="R51" s="37">
        <f t="shared" si="14"/>
        <v>0</v>
      </c>
      <c r="S51" s="38">
        <f t="shared" si="15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9"/>
        <v>0</v>
      </c>
      <c r="I52" s="31">
        <f t="shared" si="10"/>
        <v>0</v>
      </c>
      <c r="J52" s="32" t="str">
        <f t="shared" si="11"/>
        <v/>
      </c>
      <c r="K52" s="32"/>
      <c r="L52" s="33">
        <f t="shared" si="12"/>
        <v>0</v>
      </c>
      <c r="M52" s="32"/>
      <c r="N52" s="32"/>
      <c r="O52" s="34">
        <f t="shared" si="13"/>
        <v>0</v>
      </c>
      <c r="P52" s="44"/>
      <c r="Q52" s="44"/>
      <c r="R52" s="37">
        <f t="shared" si="14"/>
        <v>0</v>
      </c>
      <c r="S52" s="38">
        <f t="shared" si="15"/>
        <v>0</v>
      </c>
      <c r="T52" s="51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9"/>
        <v>0</v>
      </c>
      <c r="I53" s="31">
        <f t="shared" si="10"/>
        <v>0</v>
      </c>
      <c r="J53" s="32" t="str">
        <f t="shared" si="11"/>
        <v/>
      </c>
      <c r="K53" s="32"/>
      <c r="L53" s="33">
        <f t="shared" si="12"/>
        <v>0</v>
      </c>
      <c r="M53" s="32"/>
      <c r="N53" s="32"/>
      <c r="O53" s="34">
        <f t="shared" si="13"/>
        <v>0</v>
      </c>
      <c r="P53" s="44"/>
      <c r="Q53" s="44"/>
      <c r="R53" s="37">
        <f t="shared" si="14"/>
        <v>0</v>
      </c>
      <c r="S53" s="38">
        <f t="shared" si="15"/>
        <v>0</v>
      </c>
      <c r="T53" s="51"/>
      <c r="U53" s="42">
        <f>IFERROR(__xludf.DUMMYFUNCTION("""COMPUTED_VALUE"""),0.0)</f>
        <v>0</v>
      </c>
      <c r="V53" s="24"/>
      <c r="W53" s="24"/>
    </row>
    <row r="54" ht="37.5" customHeight="1">
      <c r="A54" s="24"/>
      <c r="B54" s="25">
        <v>21.0</v>
      </c>
      <c r="C54" s="49"/>
      <c r="D54" s="51"/>
      <c r="E54" s="51"/>
      <c r="F54" s="42"/>
      <c r="G54" s="53"/>
      <c r="H54" s="31">
        <f t="shared" si="9"/>
        <v>0</v>
      </c>
      <c r="I54" s="31">
        <f t="shared" si="10"/>
        <v>0</v>
      </c>
      <c r="J54" s="32" t="str">
        <f t="shared" si="11"/>
        <v/>
      </c>
      <c r="K54" s="32"/>
      <c r="L54" s="33">
        <f t="shared" si="12"/>
        <v>0</v>
      </c>
      <c r="M54" s="32"/>
      <c r="N54" s="32"/>
      <c r="O54" s="34">
        <f t="shared" si="13"/>
        <v>0</v>
      </c>
      <c r="P54" s="44"/>
      <c r="Q54" s="44"/>
      <c r="R54" s="37">
        <f t="shared" si="14"/>
        <v>0</v>
      </c>
      <c r="S54" s="38">
        <f t="shared" si="15"/>
        <v>0</v>
      </c>
      <c r="T54" s="51"/>
      <c r="U54" s="42"/>
      <c r="V54" s="24"/>
      <c r="W54" s="24"/>
    </row>
    <row r="55" ht="37.5" customHeight="1">
      <c r="A55" s="24"/>
      <c r="B55" s="25">
        <v>22.0</v>
      </c>
      <c r="C55" s="49"/>
      <c r="D55" s="51"/>
      <c r="E55" s="51"/>
      <c r="F55" s="42"/>
      <c r="G55" s="53"/>
      <c r="H55" s="31">
        <f t="shared" si="9"/>
        <v>0</v>
      </c>
      <c r="I55" s="31">
        <f t="shared" si="10"/>
        <v>0</v>
      </c>
      <c r="J55" s="32" t="str">
        <f t="shared" si="11"/>
        <v/>
      </c>
      <c r="K55" s="32"/>
      <c r="L55" s="33">
        <f t="shared" si="12"/>
        <v>0</v>
      </c>
      <c r="M55" s="32"/>
      <c r="N55" s="32"/>
      <c r="O55" s="34">
        <f t="shared" si="13"/>
        <v>0</v>
      </c>
      <c r="P55" s="44"/>
      <c r="Q55" s="44"/>
      <c r="R55" s="37">
        <f t="shared" si="14"/>
        <v>0</v>
      </c>
      <c r="S55" s="38">
        <f t="shared" si="15"/>
        <v>0</v>
      </c>
      <c r="T55" s="51"/>
      <c r="U55" s="42"/>
      <c r="V55" s="24"/>
      <c r="W55" s="24"/>
    </row>
    <row r="56" ht="37.5" customHeight="1">
      <c r="A56" s="24"/>
      <c r="B56" s="54"/>
      <c r="F56" s="55" t="s">
        <v>21</v>
      </c>
      <c r="S56" s="56">
        <f>SUM(S34:S55)</f>
        <v>4140000</v>
      </c>
      <c r="T56" s="57"/>
      <c r="U56" s="58"/>
      <c r="V56" s="24"/>
      <c r="W56" s="24"/>
    </row>
    <row r="57" ht="37.5" customHeight="1">
      <c r="A57" s="24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24"/>
      <c r="W57" s="24"/>
    </row>
    <row r="58" ht="37.5" customHeight="1">
      <c r="A58" s="24"/>
      <c r="B58" s="21" t="str">
        <f>IFERROR(__xludf.DUMMYFUNCTION("IMPORTRANGE(""https://docs.google.com/spreadsheets/d/17TnzcKnlaqlAyM_3lnNpgK5CAOPbscCCRVH50X8UulY/edit?usp=sharing"",""MEI!B50"")"),"TANGGAL : 11-16 MEI 2026")</f>
        <v>TANGGAL : 11-16 MEI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  <c r="V58" s="24"/>
      <c r="W58" s="24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IFERROR(__xludf.DUMMYFUNCTION("IMPORTRANGE(""https://docs.google.com/spreadsheets/d/17TnzcKnlaqlAyM_3lnNpgK5CAOPbscCCRVH50X8UulY/edit?usp=sharing"",""MEI!B51:D70"")"),"EPUL")</f>
        <v>EPUL</v>
      </c>
      <c r="D59" s="27" t="str">
        <f>IFERROR(__xludf.DUMMYFUNCTION("""COMPUTED_VALUE"""),"KEPALA")</f>
        <v>KEPALA</v>
      </c>
      <c r="E59" s="28"/>
      <c r="F59" s="52">
        <f>IFERROR(__xludf.DUMMYFUNCTION("IMPORTRANGE(""https://docs.google.com/spreadsheets/d/17TnzcKnlaqlAyM_3lnNpgK5CAOPbscCCRVH50X8UulY/edit?usp=sharing"",""MEI!K51:K69"")"),6.0)</f>
        <v>6</v>
      </c>
      <c r="G59" s="130">
        <v>110000.0</v>
      </c>
      <c r="H59" s="31">
        <f t="shared" ref="H59:H80" si="16">F59*G59</f>
        <v>660000</v>
      </c>
      <c r="I59" s="31">
        <f t="shared" ref="I59:I80" si="17">F59*10000</f>
        <v>60000</v>
      </c>
      <c r="J59" s="32" t="str">
        <f t="shared" ref="J59:J80" si="18">IF(E59="SHIFT 2",I59,"")</f>
        <v/>
      </c>
      <c r="K59" s="32"/>
      <c r="L59" s="33">
        <f t="shared" ref="L59:L80" si="19">U59*$L$58</f>
        <v>0</v>
      </c>
      <c r="M59" s="32"/>
      <c r="N59" s="32"/>
      <c r="O59" s="34">
        <f t="shared" ref="O59:O80" si="20">SUM(H59:N59)</f>
        <v>720000</v>
      </c>
      <c r="P59" s="44"/>
      <c r="Q59" s="44"/>
      <c r="R59" s="37">
        <f t="shared" ref="R59:R80" si="21">SUM(P59:Q59)</f>
        <v>0</v>
      </c>
      <c r="S59" s="38">
        <f t="shared" ref="S59:S80" si="22">O59-R59</f>
        <v>720000</v>
      </c>
      <c r="T59" s="39" t="str">
        <f>IFERROR(__xludf.DUMMYFUNCTION("IMPORTRANGE(""https://docs.google.com/spreadsheets/d/17TnzcKnlaqlAyM_3lnNpgK5CAOPbscCCRVH50X8UulY/edit?usp=sharing"",""MEI!L51:L70"")"),"")</f>
        <v/>
      </c>
      <c r="U59" s="42">
        <f>IFERROR(__xludf.DUMMYFUNCTION("IMPORTRANGE(""https://docs.google.com/spreadsheets/d/17TnzcKnlaqlAyM_3lnNpgK5CAOPbscCCRVH50X8UulY/edit?usp=sharing"",""MEI!U51:U70"")"),0.0)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/>
      <c r="F60" s="52">
        <f>IFERROR(__xludf.DUMMYFUNCTION("""COMPUTED_VALUE"""),6.0)</f>
        <v>6</v>
      </c>
      <c r="G60" s="130">
        <v>70000.0</v>
      </c>
      <c r="H60" s="31">
        <f t="shared" si="16"/>
        <v>420000</v>
      </c>
      <c r="I60" s="31">
        <f t="shared" si="17"/>
        <v>60000</v>
      </c>
      <c r="J60" s="32" t="str">
        <f t="shared" si="18"/>
        <v/>
      </c>
      <c r="K60" s="41"/>
      <c r="L60" s="33">
        <f t="shared" si="19"/>
        <v>0</v>
      </c>
      <c r="M60" s="41"/>
      <c r="N60" s="41"/>
      <c r="O60" s="34">
        <f t="shared" si="20"/>
        <v>480000</v>
      </c>
      <c r="P60" s="44"/>
      <c r="Q60" s="44"/>
      <c r="R60" s="37">
        <f t="shared" si="21"/>
        <v>0</v>
      </c>
      <c r="S60" s="38">
        <f t="shared" si="22"/>
        <v>480000</v>
      </c>
      <c r="T60" s="39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 t="str">
        <f>IFERROR(__xludf.DUMMYFUNCTION("""COMPUTED_VALUE"""),"KHRYSSAN")</f>
        <v>KHRYSSAN</v>
      </c>
      <c r="D61" s="27" t="str">
        <f>IFERROR(__xludf.DUMMYFUNCTION("""COMPUTED_VALUE"""),"ADMIN")</f>
        <v>ADMIN</v>
      </c>
      <c r="E61" s="28"/>
      <c r="F61" s="52">
        <f>IFERROR(__xludf.DUMMYFUNCTION("""COMPUTED_VALUE"""),5.0)</f>
        <v>5</v>
      </c>
      <c r="G61" s="130">
        <v>70000.0</v>
      </c>
      <c r="H61" s="31">
        <f t="shared" si="16"/>
        <v>350000</v>
      </c>
      <c r="I61" s="31">
        <f t="shared" si="17"/>
        <v>50000</v>
      </c>
      <c r="J61" s="32" t="str">
        <f t="shared" si="18"/>
        <v/>
      </c>
      <c r="K61" s="41"/>
      <c r="L61" s="33">
        <f t="shared" si="19"/>
        <v>0</v>
      </c>
      <c r="M61" s="41"/>
      <c r="N61" s="41"/>
      <c r="O61" s="34">
        <f t="shared" si="20"/>
        <v>400000</v>
      </c>
      <c r="P61" s="44"/>
      <c r="Q61" s="44"/>
      <c r="R61" s="37">
        <f t="shared" si="21"/>
        <v>0</v>
      </c>
      <c r="S61" s="38">
        <f t="shared" si="22"/>
        <v>400000</v>
      </c>
      <c r="T61" s="39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IFERROR(__xludf.DUMMYFUNCTION("""COMPUTED_VALUE"""),"ANDRI")</f>
        <v>ANDRI</v>
      </c>
      <c r="D62" s="27" t="str">
        <f>IFERROR(__xludf.DUMMYFUNCTION("""COMPUTED_VALUE"""),"DESIGN BORDIR")</f>
        <v>DESIGN BORDIR</v>
      </c>
      <c r="E62" s="28"/>
      <c r="F62" s="52">
        <f>IFERROR(__xludf.DUMMYFUNCTION("""COMPUTED_VALUE"""),6.0)</f>
        <v>6</v>
      </c>
      <c r="G62" s="130">
        <v>70000.0</v>
      </c>
      <c r="H62" s="31">
        <f t="shared" si="16"/>
        <v>420000</v>
      </c>
      <c r="I62" s="31">
        <f t="shared" si="17"/>
        <v>60000</v>
      </c>
      <c r="J62" s="32" t="str">
        <f t="shared" si="18"/>
        <v/>
      </c>
      <c r="K62" s="32"/>
      <c r="L62" s="33">
        <f t="shared" si="19"/>
        <v>0</v>
      </c>
      <c r="M62" s="32"/>
      <c r="N62" s="32"/>
      <c r="O62" s="34">
        <f t="shared" si="20"/>
        <v>480000</v>
      </c>
      <c r="P62" s="35"/>
      <c r="Q62" s="44"/>
      <c r="R62" s="37">
        <f t="shared" si="21"/>
        <v>0</v>
      </c>
      <c r="S62" s="38">
        <f t="shared" si="22"/>
        <v>480000</v>
      </c>
      <c r="T62" s="39"/>
      <c r="U62" s="42">
        <f>IFERROR(__xludf.DUMMYFUNCTION("""COMPUTED_VALUE"""),0.0)</f>
        <v>0</v>
      </c>
    </row>
    <row r="63" ht="37.5" customHeight="1">
      <c r="B63" s="25">
        <v>5.0</v>
      </c>
      <c r="C63" s="26" t="str">
        <f>IFERROR(__xludf.DUMMYFUNCTION("""COMPUTED_VALUE"""),"ADIT")</f>
        <v>ADIT</v>
      </c>
      <c r="D63" s="27" t="str">
        <f>IFERROR(__xludf.DUMMYFUNCTION("""COMPUTED_VALUE"""),"CREATOR")</f>
        <v>CREATOR</v>
      </c>
      <c r="E63" s="28"/>
      <c r="F63" s="52">
        <f>IFERROR(__xludf.DUMMYFUNCTION("""COMPUTED_VALUE"""),6.0)</f>
        <v>6</v>
      </c>
      <c r="G63" s="130">
        <v>50000.0</v>
      </c>
      <c r="H63" s="31">
        <f t="shared" si="16"/>
        <v>300000</v>
      </c>
      <c r="I63" s="31">
        <f t="shared" si="17"/>
        <v>60000</v>
      </c>
      <c r="J63" s="32" t="str">
        <f t="shared" si="18"/>
        <v/>
      </c>
      <c r="K63" s="32"/>
      <c r="L63" s="33">
        <f t="shared" si="19"/>
        <v>0</v>
      </c>
      <c r="M63" s="32"/>
      <c r="N63" s="32"/>
      <c r="O63" s="34">
        <f t="shared" si="20"/>
        <v>360000</v>
      </c>
      <c r="P63" s="44"/>
      <c r="Q63" s="44"/>
      <c r="R63" s="37">
        <f t="shared" si="21"/>
        <v>0</v>
      </c>
      <c r="S63" s="38">
        <f t="shared" si="22"/>
        <v>360000</v>
      </c>
      <c r="T63" s="39"/>
      <c r="U63" s="42">
        <f>IFERROR(__xludf.DUMMYFUNCTION("""COMPUTED_VALUE"""),0.0)</f>
        <v>0</v>
      </c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/>
      <c r="F64" s="52">
        <f>IFERROR(__xludf.DUMMYFUNCTION("""COMPUTED_VALUE"""),6.0)</f>
        <v>6</v>
      </c>
      <c r="G64" s="130">
        <v>70000.0</v>
      </c>
      <c r="H64" s="31">
        <f t="shared" si="16"/>
        <v>420000</v>
      </c>
      <c r="I64" s="31">
        <f t="shared" si="17"/>
        <v>60000</v>
      </c>
      <c r="J64" s="32" t="str">
        <f t="shared" si="18"/>
        <v/>
      </c>
      <c r="K64" s="32"/>
      <c r="L64" s="33">
        <f t="shared" si="19"/>
        <v>0</v>
      </c>
      <c r="M64" s="32"/>
      <c r="N64" s="32"/>
      <c r="O64" s="34">
        <f t="shared" si="20"/>
        <v>480000</v>
      </c>
      <c r="P64" s="44"/>
      <c r="Q64" s="44"/>
      <c r="R64" s="37">
        <f t="shared" si="21"/>
        <v>0</v>
      </c>
      <c r="S64" s="38">
        <f t="shared" si="22"/>
        <v>480000</v>
      </c>
      <c r="T64" s="39"/>
      <c r="U64" s="42">
        <f>IFERROR(__xludf.DUMMYFUNCTION("""COMPUTED_VALUE"""),0.0)</f>
        <v>0</v>
      </c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/>
      <c r="F65" s="52">
        <f>IFERROR(__xludf.DUMMYFUNCTION("""COMPUTED_VALUE"""),5.0)</f>
        <v>5</v>
      </c>
      <c r="G65" s="130">
        <v>70000.0</v>
      </c>
      <c r="H65" s="31">
        <f t="shared" si="16"/>
        <v>350000</v>
      </c>
      <c r="I65" s="31">
        <f t="shared" si="17"/>
        <v>50000</v>
      </c>
      <c r="J65" s="32" t="str">
        <f t="shared" si="18"/>
        <v/>
      </c>
      <c r="K65" s="32"/>
      <c r="L65" s="33">
        <f t="shared" si="19"/>
        <v>0</v>
      </c>
      <c r="M65" s="32"/>
      <c r="N65" s="32"/>
      <c r="O65" s="34">
        <f t="shared" si="20"/>
        <v>400000</v>
      </c>
      <c r="P65" s="44"/>
      <c r="Q65" s="44"/>
      <c r="R65" s="37">
        <f t="shared" si="21"/>
        <v>0</v>
      </c>
      <c r="S65" s="38">
        <f t="shared" si="22"/>
        <v>400000</v>
      </c>
      <c r="T65" s="39"/>
      <c r="U65" s="42">
        <f>IFERROR(__xludf.DUMMYFUNCTION("""COMPUTED_VALUE"""),0.0)</f>
        <v>0</v>
      </c>
      <c r="V65" s="63"/>
      <c r="W65" s="63"/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/>
      <c r="F66" s="52">
        <f>IFERROR(__xludf.DUMMYFUNCTION("""COMPUTED_VALUE"""),6.0)</f>
        <v>6</v>
      </c>
      <c r="G66" s="130">
        <v>50000.0</v>
      </c>
      <c r="H66" s="31">
        <f t="shared" si="16"/>
        <v>300000</v>
      </c>
      <c r="I66" s="31">
        <f t="shared" si="17"/>
        <v>60000</v>
      </c>
      <c r="J66" s="32" t="str">
        <f t="shared" si="18"/>
        <v/>
      </c>
      <c r="K66" s="32"/>
      <c r="L66" s="33">
        <f t="shared" si="19"/>
        <v>0</v>
      </c>
      <c r="M66" s="32"/>
      <c r="N66" s="32"/>
      <c r="O66" s="34">
        <f t="shared" si="20"/>
        <v>360000</v>
      </c>
      <c r="P66" s="44"/>
      <c r="Q66" s="44"/>
      <c r="R66" s="37">
        <f t="shared" si="21"/>
        <v>0</v>
      </c>
      <c r="S66" s="38">
        <f t="shared" si="22"/>
        <v>360000</v>
      </c>
      <c r="T66" s="39"/>
      <c r="U66" s="42">
        <f>IFERROR(__xludf.DUMMYFUNCTION("""COMPUTED_VALUE"""),0.0)</f>
        <v>0</v>
      </c>
      <c r="V66" s="63"/>
      <c r="W66" s="63"/>
    </row>
    <row r="67" ht="37.5" customHeight="1">
      <c r="B67" s="25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/>
      <c r="F67" s="52">
        <f>IFERROR(__xludf.DUMMYFUNCTION("""COMPUTED_VALUE"""),6.0)</f>
        <v>6</v>
      </c>
      <c r="G67" s="130">
        <v>50000.0</v>
      </c>
      <c r="H67" s="31">
        <f t="shared" si="16"/>
        <v>300000</v>
      </c>
      <c r="I67" s="31">
        <f t="shared" si="17"/>
        <v>60000</v>
      </c>
      <c r="J67" s="32" t="str">
        <f t="shared" si="18"/>
        <v/>
      </c>
      <c r="K67" s="32"/>
      <c r="L67" s="33">
        <f t="shared" si="19"/>
        <v>0</v>
      </c>
      <c r="M67" s="32"/>
      <c r="N67" s="32"/>
      <c r="O67" s="34">
        <f t="shared" si="20"/>
        <v>360000</v>
      </c>
      <c r="P67" s="44"/>
      <c r="Q67" s="44"/>
      <c r="R67" s="37">
        <f t="shared" si="21"/>
        <v>0</v>
      </c>
      <c r="S67" s="38">
        <f t="shared" si="22"/>
        <v>360000</v>
      </c>
      <c r="T67" s="39"/>
      <c r="U67" s="42">
        <f>IFERROR(__xludf.DUMMYFUNCTION("""COMPUTED_VALUE"""),0.0)</f>
        <v>0</v>
      </c>
      <c r="V67" s="63"/>
      <c r="W67" s="63"/>
    </row>
    <row r="68" ht="37.5" customHeight="1">
      <c r="B68" s="25">
        <v>10.0</v>
      </c>
      <c r="C68" s="97" t="str">
        <f>IFERROR(__xludf.DUMMYFUNCTION("""COMPUTED_VALUE"""),"IIS")</f>
        <v>IIS</v>
      </c>
      <c r="D68" s="131" t="str">
        <f>IFERROR(__xludf.DUMMYFUNCTION("""COMPUTED_VALUE"""),"PACKING")</f>
        <v>PACKING</v>
      </c>
      <c r="E68" s="101"/>
      <c r="F68" s="86">
        <f>IFERROR(__xludf.DUMMYFUNCTION("""COMPUTED_VALUE"""),6.0)</f>
        <v>6</v>
      </c>
      <c r="G68" s="130">
        <v>70000.0</v>
      </c>
      <c r="H68" s="31">
        <f t="shared" si="16"/>
        <v>420000</v>
      </c>
      <c r="I68" s="31">
        <f t="shared" si="17"/>
        <v>60000</v>
      </c>
      <c r="J68" s="32" t="str">
        <f t="shared" si="18"/>
        <v/>
      </c>
      <c r="K68" s="32"/>
      <c r="L68" s="33">
        <f t="shared" si="19"/>
        <v>0</v>
      </c>
      <c r="M68" s="32"/>
      <c r="N68" s="32"/>
      <c r="O68" s="34">
        <f t="shared" si="20"/>
        <v>480000</v>
      </c>
      <c r="P68" s="44"/>
      <c r="Q68" s="44"/>
      <c r="R68" s="37">
        <f t="shared" si="21"/>
        <v>0</v>
      </c>
      <c r="S68" s="38">
        <f t="shared" si="22"/>
        <v>480000</v>
      </c>
      <c r="T68" s="39"/>
      <c r="U68" s="42">
        <f>IFERROR(__xludf.DUMMYFUNCTION("""COMPUTED_VALUE"""),0.0)</f>
        <v>0</v>
      </c>
      <c r="V68" s="63"/>
      <c r="W68" s="63"/>
    </row>
    <row r="69" ht="37.5" customHeight="1">
      <c r="B69" s="25">
        <v>11.0</v>
      </c>
      <c r="C69" s="49"/>
      <c r="D69" s="50"/>
      <c r="E69" s="51"/>
      <c r="F69" s="52">
        <f>IFERROR(__xludf.DUMMYFUNCTION("""COMPUTED_VALUE"""),0.0)</f>
        <v>0</v>
      </c>
      <c r="G69" s="45"/>
      <c r="H69" s="31">
        <f t="shared" si="16"/>
        <v>0</v>
      </c>
      <c r="I69" s="31">
        <f t="shared" si="17"/>
        <v>0</v>
      </c>
      <c r="J69" s="32" t="str">
        <f t="shared" si="18"/>
        <v/>
      </c>
      <c r="K69" s="32"/>
      <c r="L69" s="33">
        <f t="shared" si="19"/>
        <v>0</v>
      </c>
      <c r="M69" s="32"/>
      <c r="N69" s="32"/>
      <c r="O69" s="34">
        <f t="shared" si="20"/>
        <v>0</v>
      </c>
      <c r="P69" s="44"/>
      <c r="Q69" s="44"/>
      <c r="R69" s="37">
        <f t="shared" si="21"/>
        <v>0</v>
      </c>
      <c r="S69" s="38">
        <f t="shared" si="22"/>
        <v>0</v>
      </c>
      <c r="T69" s="39"/>
      <c r="U69" s="42">
        <f>IFERROR(__xludf.DUMMYFUNCTION("""COMPUTED_VALUE"""),0.0)</f>
        <v>0</v>
      </c>
      <c r="V69" s="63"/>
      <c r="W69" s="63"/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6"/>
        <v>0</v>
      </c>
      <c r="I70" s="31">
        <f t="shared" si="17"/>
        <v>0</v>
      </c>
      <c r="J70" s="32" t="str">
        <f t="shared" si="18"/>
        <v/>
      </c>
      <c r="K70" s="32"/>
      <c r="L70" s="33">
        <f t="shared" si="19"/>
        <v>0</v>
      </c>
      <c r="M70" s="32"/>
      <c r="N70" s="32"/>
      <c r="O70" s="34">
        <f t="shared" si="20"/>
        <v>0</v>
      </c>
      <c r="P70" s="44"/>
      <c r="Q70" s="44"/>
      <c r="R70" s="37">
        <f t="shared" si="21"/>
        <v>0</v>
      </c>
      <c r="S70" s="38">
        <f t="shared" si="22"/>
        <v>0</v>
      </c>
      <c r="T70" s="39"/>
      <c r="U70" s="42">
        <f>IFERROR(__xludf.DUMMYFUNCTION("""COMPUTED_VALUE"""),0.0)</f>
        <v>0</v>
      </c>
    </row>
    <row r="71" ht="37.5" customHeight="1">
      <c r="B71" s="25">
        <v>13.0</v>
      </c>
      <c r="C71" s="49"/>
      <c r="D71" s="50"/>
      <c r="E71" s="51"/>
      <c r="F71" s="52">
        <f>IFERROR(__xludf.DUMMYFUNCTION("""COMPUTED_VALUE"""),0.0)</f>
        <v>0</v>
      </c>
      <c r="G71" s="45"/>
      <c r="H71" s="31">
        <f t="shared" si="16"/>
        <v>0</v>
      </c>
      <c r="I71" s="31">
        <f t="shared" si="17"/>
        <v>0</v>
      </c>
      <c r="J71" s="32" t="str">
        <f t="shared" si="18"/>
        <v/>
      </c>
      <c r="K71" s="32"/>
      <c r="L71" s="33">
        <f t="shared" si="19"/>
        <v>0</v>
      </c>
      <c r="M71" s="32"/>
      <c r="N71" s="32"/>
      <c r="O71" s="34">
        <f t="shared" si="20"/>
        <v>0</v>
      </c>
      <c r="P71" s="44"/>
      <c r="Q71" s="44"/>
      <c r="R71" s="37">
        <f t="shared" si="21"/>
        <v>0</v>
      </c>
      <c r="S71" s="38">
        <f t="shared" si="22"/>
        <v>0</v>
      </c>
      <c r="T71" s="39"/>
      <c r="U71" s="42">
        <f>IFERROR(__xludf.DUMMYFUNCTION("""COMPUTED_VALUE"""),0.0)</f>
        <v>0</v>
      </c>
    </row>
    <row r="72" ht="37.5" customHeight="1">
      <c r="B72" s="25">
        <v>14.0</v>
      </c>
      <c r="C72" s="49"/>
      <c r="D72" s="50"/>
      <c r="E72" s="51"/>
      <c r="F72" s="52">
        <f>IFERROR(__xludf.DUMMYFUNCTION("""COMPUTED_VALUE"""),0.0)</f>
        <v>0</v>
      </c>
      <c r="G72" s="45"/>
      <c r="H72" s="31">
        <f t="shared" si="16"/>
        <v>0</v>
      </c>
      <c r="I72" s="31">
        <f t="shared" si="17"/>
        <v>0</v>
      </c>
      <c r="J72" s="32" t="str">
        <f t="shared" si="18"/>
        <v/>
      </c>
      <c r="K72" s="32"/>
      <c r="L72" s="33">
        <f t="shared" si="19"/>
        <v>0</v>
      </c>
      <c r="M72" s="32"/>
      <c r="N72" s="32"/>
      <c r="O72" s="34">
        <f t="shared" si="20"/>
        <v>0</v>
      </c>
      <c r="P72" s="44"/>
      <c r="Q72" s="44"/>
      <c r="R72" s="37">
        <f t="shared" si="21"/>
        <v>0</v>
      </c>
      <c r="S72" s="38">
        <f t="shared" si="22"/>
        <v>0</v>
      </c>
      <c r="T72" s="39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1"/>
      <c r="E73" s="51"/>
      <c r="F73" s="42">
        <f>IFERROR(__xludf.DUMMYFUNCTION("""COMPUTED_VALUE"""),0.0)</f>
        <v>0</v>
      </c>
      <c r="G73" s="45"/>
      <c r="H73" s="31">
        <f t="shared" si="16"/>
        <v>0</v>
      </c>
      <c r="I73" s="31">
        <f t="shared" si="17"/>
        <v>0</v>
      </c>
      <c r="J73" s="32" t="str">
        <f t="shared" si="18"/>
        <v/>
      </c>
      <c r="K73" s="32"/>
      <c r="L73" s="33">
        <f t="shared" si="19"/>
        <v>0</v>
      </c>
      <c r="M73" s="32"/>
      <c r="N73" s="32"/>
      <c r="O73" s="34">
        <f t="shared" si="20"/>
        <v>0</v>
      </c>
      <c r="P73" s="44"/>
      <c r="Q73" s="44"/>
      <c r="R73" s="37">
        <f t="shared" si="21"/>
        <v>0</v>
      </c>
      <c r="S73" s="38">
        <f t="shared" si="22"/>
        <v>0</v>
      </c>
      <c r="T73" s="51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6"/>
        <v>0</v>
      </c>
      <c r="I74" s="31">
        <f t="shared" si="17"/>
        <v>0</v>
      </c>
      <c r="J74" s="32" t="str">
        <f t="shared" si="18"/>
        <v/>
      </c>
      <c r="K74" s="32"/>
      <c r="L74" s="33">
        <f t="shared" si="19"/>
        <v>0</v>
      </c>
      <c r="M74" s="32"/>
      <c r="N74" s="32"/>
      <c r="O74" s="34">
        <f t="shared" si="20"/>
        <v>0</v>
      </c>
      <c r="P74" s="44"/>
      <c r="Q74" s="44"/>
      <c r="R74" s="37">
        <f t="shared" si="21"/>
        <v>0</v>
      </c>
      <c r="S74" s="38">
        <f t="shared" si="22"/>
        <v>0</v>
      </c>
      <c r="T74" s="39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6"/>
        <v>0</v>
      </c>
      <c r="I75" s="31">
        <f t="shared" si="17"/>
        <v>0</v>
      </c>
      <c r="J75" s="32" t="str">
        <f t="shared" si="18"/>
        <v/>
      </c>
      <c r="K75" s="32"/>
      <c r="L75" s="33">
        <f t="shared" si="19"/>
        <v>0</v>
      </c>
      <c r="M75" s="32"/>
      <c r="N75" s="32"/>
      <c r="O75" s="34">
        <f t="shared" si="20"/>
        <v>0</v>
      </c>
      <c r="P75" s="44"/>
      <c r="Q75" s="44"/>
      <c r="R75" s="37">
        <f t="shared" si="21"/>
        <v>0</v>
      </c>
      <c r="S75" s="38">
        <f t="shared" si="22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6"/>
        <v>0</v>
      </c>
      <c r="I76" s="31">
        <f t="shared" si="17"/>
        <v>0</v>
      </c>
      <c r="J76" s="32" t="str">
        <f t="shared" si="18"/>
        <v/>
      </c>
      <c r="K76" s="32"/>
      <c r="L76" s="33">
        <f t="shared" si="19"/>
        <v>0</v>
      </c>
      <c r="M76" s="32"/>
      <c r="N76" s="32"/>
      <c r="O76" s="34">
        <f t="shared" si="20"/>
        <v>0</v>
      </c>
      <c r="P76" s="44"/>
      <c r="Q76" s="44"/>
      <c r="R76" s="37">
        <f t="shared" si="21"/>
        <v>0</v>
      </c>
      <c r="S76" s="38">
        <f t="shared" si="22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6"/>
        <v>0</v>
      </c>
      <c r="I77" s="31">
        <f t="shared" si="17"/>
        <v>0</v>
      </c>
      <c r="J77" s="32" t="str">
        <f t="shared" si="18"/>
        <v/>
      </c>
      <c r="K77" s="32"/>
      <c r="L77" s="33">
        <f t="shared" si="19"/>
        <v>0</v>
      </c>
      <c r="M77" s="32"/>
      <c r="N77" s="32"/>
      <c r="O77" s="34">
        <f t="shared" si="20"/>
        <v>0</v>
      </c>
      <c r="P77" s="44"/>
      <c r="Q77" s="44"/>
      <c r="R77" s="37">
        <f t="shared" si="21"/>
        <v>0</v>
      </c>
      <c r="S77" s="38">
        <f t="shared" si="22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6"/>
        <v>0</v>
      </c>
      <c r="I78" s="31">
        <f t="shared" si="17"/>
        <v>0</v>
      </c>
      <c r="J78" s="32" t="str">
        <f t="shared" si="18"/>
        <v/>
      </c>
      <c r="K78" s="32"/>
      <c r="L78" s="33">
        <f t="shared" si="19"/>
        <v>0</v>
      </c>
      <c r="M78" s="32"/>
      <c r="N78" s="32"/>
      <c r="O78" s="34">
        <f t="shared" si="20"/>
        <v>0</v>
      </c>
      <c r="P78" s="44"/>
      <c r="Q78" s="44"/>
      <c r="R78" s="37">
        <f t="shared" si="21"/>
        <v>0</v>
      </c>
      <c r="S78" s="38">
        <f t="shared" si="22"/>
        <v>0</v>
      </c>
      <c r="T78" s="51"/>
      <c r="U78" s="42">
        <f>IFERROR(__xludf.DUMMYFUNCTION("""COMPUTED_VALUE"""),0.0)</f>
        <v>0</v>
      </c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6"/>
        <v>0</v>
      </c>
      <c r="I79" s="31">
        <f t="shared" si="17"/>
        <v>0</v>
      </c>
      <c r="J79" s="32" t="str">
        <f t="shared" si="18"/>
        <v/>
      </c>
      <c r="K79" s="32"/>
      <c r="L79" s="33">
        <f t="shared" si="19"/>
        <v>0</v>
      </c>
      <c r="M79" s="32"/>
      <c r="N79" s="32"/>
      <c r="O79" s="34">
        <f t="shared" si="20"/>
        <v>0</v>
      </c>
      <c r="P79" s="44"/>
      <c r="Q79" s="44"/>
      <c r="R79" s="37">
        <f t="shared" si="21"/>
        <v>0</v>
      </c>
      <c r="S79" s="38">
        <f t="shared" si="22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6"/>
        <v>0</v>
      </c>
      <c r="I80" s="31">
        <f t="shared" si="17"/>
        <v>0</v>
      </c>
      <c r="J80" s="32" t="str">
        <f t="shared" si="18"/>
        <v/>
      </c>
      <c r="K80" s="32"/>
      <c r="L80" s="33">
        <f t="shared" si="19"/>
        <v>0</v>
      </c>
      <c r="M80" s="32"/>
      <c r="N80" s="32"/>
      <c r="O80" s="34">
        <f t="shared" si="20"/>
        <v>0</v>
      </c>
      <c r="P80" s="44"/>
      <c r="Q80" s="44"/>
      <c r="R80" s="37">
        <f t="shared" si="21"/>
        <v>0</v>
      </c>
      <c r="S80" s="38">
        <f t="shared" si="22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4520000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IFERROR(__xludf.DUMMYFUNCTION("IMPORTRANGE(""https://docs.google.com/spreadsheets/d/17TnzcKnlaqlAyM_3lnNpgK5CAOPbscCCRVH50X8UulY/edit?usp=sharing"",""MEI!B72"")"),"TANGGAL : 18-23 MEI 2026")</f>
        <v>TANGGAL : 18-23 MEI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IFERROR(__xludf.DUMMYFUNCTION("IMPORTRANGE(""https://docs.google.com/spreadsheets/d/17TnzcKnlaqlAyM_3lnNpgK5CAOPbscCCRVH50X8UulY/edit?usp=sharing"",""MEI!B73:D92"")"),"EPUL")</f>
        <v>EPUL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IFERROR(__xludf.DUMMYFUNCTION("IMPORTRANGE(""https://docs.google.com/spreadsheets/d/17TnzcKnlaqlAyM_3lnNpgK5CAOPbscCCRVH50X8UulY/edit?usp=sharing"",""MEI!K73:K91"")"),6.0)</f>
        <v>6</v>
      </c>
      <c r="G84" s="130">
        <v>110000.0</v>
      </c>
      <c r="H84" s="31">
        <f t="shared" ref="H84:H105" si="23">F84*G84</f>
        <v>660000</v>
      </c>
      <c r="I84" s="31">
        <f t="shared" ref="I84:I105" si="24">F84*10000</f>
        <v>60000</v>
      </c>
      <c r="J84" s="32" t="str">
        <f t="shared" ref="J84:J105" si="25">IF(E84="SHIFT 2",I84,"")</f>
        <v/>
      </c>
      <c r="K84" s="32"/>
      <c r="L84" s="33">
        <f t="shared" ref="L84:L105" si="26">U84*$L$83</f>
        <v>0</v>
      </c>
      <c r="M84" s="32"/>
      <c r="N84" s="32"/>
      <c r="O84" s="34">
        <f t="shared" ref="O84:O105" si="27">SUM(H84:N84)</f>
        <v>720000</v>
      </c>
      <c r="P84" s="44"/>
      <c r="Q84" s="44"/>
      <c r="R84" s="37">
        <f t="shared" ref="R84:R105" si="28">SUM(P84:Q84)</f>
        <v>0</v>
      </c>
      <c r="S84" s="38">
        <f t="shared" ref="S84:S105" si="29">O84-R84</f>
        <v>720000</v>
      </c>
      <c r="T84" s="52" t="str">
        <f>IFERROR(__xludf.DUMMYFUNCTION("IMPORTRANGE(""https://docs.google.com/spreadsheets/d/17TnzcKnlaqlAyM_3lnNpgK5CAOPbscCCRVH50X8UulY/edit?usp=sharing"",""MEI!L73:L92"")"),"")</f>
        <v/>
      </c>
      <c r="U84" s="42">
        <f>IFERROR(__xludf.DUMMYFUNCTION("IMPORTRANGE(""https://docs.google.com/spreadsheets/d/17TnzcKnlaqlAyM_3lnNpgK5CAOPbscCCRVH50X8UulY/edit?usp=sharing"",""MEI!U73:U92"")"),0.0)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IFERROR(__xludf.DUMMYFUNCTION("""COMPUTED_VALUE"""),5.0)</f>
        <v>5</v>
      </c>
      <c r="G85" s="130">
        <v>70000.0</v>
      </c>
      <c r="H85" s="31">
        <f t="shared" si="23"/>
        <v>350000</v>
      </c>
      <c r="I85" s="31">
        <f t="shared" si="24"/>
        <v>50000</v>
      </c>
      <c r="J85" s="32" t="str">
        <f t="shared" si="25"/>
        <v/>
      </c>
      <c r="K85" s="41"/>
      <c r="L85" s="33">
        <f t="shared" si="26"/>
        <v>0</v>
      </c>
      <c r="M85" s="41"/>
      <c r="N85" s="41"/>
      <c r="O85" s="34">
        <f t="shared" si="27"/>
        <v>400000</v>
      </c>
      <c r="P85" s="35"/>
      <c r="Q85" s="36"/>
      <c r="R85" s="37">
        <f t="shared" si="28"/>
        <v>0</v>
      </c>
      <c r="S85" s="38">
        <f t="shared" si="29"/>
        <v>400000</v>
      </c>
      <c r="T85" s="52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 t="str">
        <f>IFERROR(__xludf.DUMMYFUNCTION("""COMPUTED_VALUE"""),"KHRYSSAN")</f>
        <v>KHRYSSAN</v>
      </c>
      <c r="D86" s="27" t="str">
        <f>IFERROR(__xludf.DUMMYFUNCTION("""COMPUTED_VALUE"""),"ADMIN")</f>
        <v>ADMIN</v>
      </c>
      <c r="E86" s="28"/>
      <c r="F86" s="52">
        <f>IFERROR(__xludf.DUMMYFUNCTION("""COMPUTED_VALUE"""),6.0)</f>
        <v>6</v>
      </c>
      <c r="G86" s="130">
        <v>70000.0</v>
      </c>
      <c r="H86" s="31">
        <f t="shared" si="23"/>
        <v>420000</v>
      </c>
      <c r="I86" s="31">
        <f t="shared" si="24"/>
        <v>60000</v>
      </c>
      <c r="J86" s="32" t="str">
        <f t="shared" si="25"/>
        <v/>
      </c>
      <c r="K86" s="41"/>
      <c r="L86" s="33">
        <f t="shared" si="26"/>
        <v>0</v>
      </c>
      <c r="M86" s="41"/>
      <c r="N86" s="41"/>
      <c r="O86" s="34">
        <f t="shared" si="27"/>
        <v>480000</v>
      </c>
      <c r="P86" s="36"/>
      <c r="Q86" s="36"/>
      <c r="R86" s="37">
        <f t="shared" si="28"/>
        <v>0</v>
      </c>
      <c r="S86" s="38">
        <f t="shared" si="29"/>
        <v>480000</v>
      </c>
      <c r="T86" s="52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IFERROR(__xludf.DUMMYFUNCTION("""COMPUTED_VALUE"""),"ANDRI")</f>
        <v>ANDRI</v>
      </c>
      <c r="D87" s="27" t="str">
        <f>IFERROR(__xludf.DUMMYFUNCTION("""COMPUTED_VALUE"""),"DESIGN BORDIR")</f>
        <v>DESIGN BORDIR</v>
      </c>
      <c r="E87" s="28"/>
      <c r="F87" s="52">
        <f>IFERROR(__xludf.DUMMYFUNCTION("""COMPUTED_VALUE"""),6.0)</f>
        <v>6</v>
      </c>
      <c r="G87" s="130">
        <v>70000.0</v>
      </c>
      <c r="H87" s="31">
        <f t="shared" si="23"/>
        <v>420000</v>
      </c>
      <c r="I87" s="31">
        <f t="shared" si="24"/>
        <v>60000</v>
      </c>
      <c r="J87" s="32" t="str">
        <f t="shared" si="25"/>
        <v/>
      </c>
      <c r="K87" s="32"/>
      <c r="L87" s="33">
        <f t="shared" si="26"/>
        <v>0</v>
      </c>
      <c r="M87" s="32"/>
      <c r="N87" s="32"/>
      <c r="O87" s="34">
        <f t="shared" si="27"/>
        <v>480000</v>
      </c>
      <c r="P87" s="132">
        <v>100000.0</v>
      </c>
      <c r="Q87" s="36"/>
      <c r="R87" s="37">
        <f t="shared" si="28"/>
        <v>100000</v>
      </c>
      <c r="S87" s="38">
        <f t="shared" si="29"/>
        <v>380000</v>
      </c>
      <c r="T87" s="52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IFERROR(__xludf.DUMMYFUNCTION("""COMPUTED_VALUE"""),"ADIT")</f>
        <v>ADIT</v>
      </c>
      <c r="D88" s="27" t="str">
        <f>IFERROR(__xludf.DUMMYFUNCTION("""COMPUTED_VALUE"""),"CREATOR")</f>
        <v>CREATOR</v>
      </c>
      <c r="E88" s="28"/>
      <c r="F88" s="52">
        <f>IFERROR(__xludf.DUMMYFUNCTION("""COMPUTED_VALUE"""),0.0)</f>
        <v>0</v>
      </c>
      <c r="G88" s="130">
        <v>50000.0</v>
      </c>
      <c r="H88" s="31">
        <f t="shared" si="23"/>
        <v>0</v>
      </c>
      <c r="I88" s="31">
        <f t="shared" si="24"/>
        <v>0</v>
      </c>
      <c r="J88" s="32" t="str">
        <f t="shared" si="25"/>
        <v/>
      </c>
      <c r="K88" s="32"/>
      <c r="L88" s="33">
        <f t="shared" si="26"/>
        <v>0</v>
      </c>
      <c r="M88" s="32"/>
      <c r="N88" s="32"/>
      <c r="O88" s="34">
        <f t="shared" si="27"/>
        <v>0</v>
      </c>
      <c r="P88" s="36"/>
      <c r="Q88" s="36"/>
      <c r="R88" s="37">
        <f t="shared" si="28"/>
        <v>0</v>
      </c>
      <c r="S88" s="38">
        <f t="shared" si="29"/>
        <v>0</v>
      </c>
      <c r="T88" s="52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IFERROR(__xludf.DUMMYFUNCTION("""COMPUTED_VALUE"""),6.0)</f>
        <v>6</v>
      </c>
      <c r="G89" s="130">
        <v>70000.0</v>
      </c>
      <c r="H89" s="31">
        <f t="shared" si="23"/>
        <v>420000</v>
      </c>
      <c r="I89" s="31">
        <f t="shared" si="24"/>
        <v>60000</v>
      </c>
      <c r="J89" s="32" t="str">
        <f t="shared" si="25"/>
        <v/>
      </c>
      <c r="K89" s="32"/>
      <c r="L89" s="33">
        <f t="shared" si="26"/>
        <v>0</v>
      </c>
      <c r="M89" s="32"/>
      <c r="N89" s="32"/>
      <c r="O89" s="34">
        <f t="shared" si="27"/>
        <v>480000</v>
      </c>
      <c r="P89" s="132">
        <v>100000.0</v>
      </c>
      <c r="Q89" s="36"/>
      <c r="R89" s="37">
        <f t="shared" si="28"/>
        <v>100000</v>
      </c>
      <c r="S89" s="38">
        <f t="shared" si="29"/>
        <v>380000</v>
      </c>
      <c r="T89" s="52"/>
      <c r="U89" s="42">
        <f>IFERROR(__xludf.DUMMYFUNCTION("""COMPUTED_VALUE"""),0.0)</f>
        <v>0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IFERROR(__xludf.DUMMYFUNCTION("""COMPUTED_VALUE"""),6.0)</f>
        <v>6</v>
      </c>
      <c r="G90" s="130">
        <v>70000.0</v>
      </c>
      <c r="H90" s="31">
        <f t="shared" si="23"/>
        <v>420000</v>
      </c>
      <c r="I90" s="31">
        <f t="shared" si="24"/>
        <v>60000</v>
      </c>
      <c r="J90" s="32" t="str">
        <f t="shared" si="25"/>
        <v/>
      </c>
      <c r="K90" s="32"/>
      <c r="L90" s="33">
        <f t="shared" si="26"/>
        <v>0</v>
      </c>
      <c r="M90" s="32"/>
      <c r="N90" s="32"/>
      <c r="O90" s="34">
        <f t="shared" si="27"/>
        <v>480000</v>
      </c>
      <c r="P90" s="36"/>
      <c r="Q90" s="36"/>
      <c r="R90" s="37">
        <f t="shared" si="28"/>
        <v>0</v>
      </c>
      <c r="S90" s="38">
        <f t="shared" si="29"/>
        <v>480000</v>
      </c>
      <c r="T90" s="52"/>
      <c r="U90" s="42">
        <f>IFERROR(__xludf.DUMMYFUNCTION("""COMPUTED_VALUE"""),0.0)</f>
        <v>0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IFERROR(__xludf.DUMMYFUNCTION("""COMPUTED_VALUE"""),6.0)</f>
        <v>6</v>
      </c>
      <c r="G91" s="130">
        <v>50000.0</v>
      </c>
      <c r="H91" s="31">
        <f t="shared" si="23"/>
        <v>300000</v>
      </c>
      <c r="I91" s="31">
        <f t="shared" si="24"/>
        <v>60000</v>
      </c>
      <c r="J91" s="32" t="str">
        <f t="shared" si="25"/>
        <v/>
      </c>
      <c r="K91" s="32"/>
      <c r="L91" s="33">
        <f t="shared" si="26"/>
        <v>0</v>
      </c>
      <c r="M91" s="32"/>
      <c r="N91" s="32"/>
      <c r="O91" s="34">
        <f t="shared" si="27"/>
        <v>360000</v>
      </c>
      <c r="P91" s="44"/>
      <c r="Q91" s="44"/>
      <c r="R91" s="37">
        <f t="shared" si="28"/>
        <v>0</v>
      </c>
      <c r="S91" s="38">
        <f t="shared" si="29"/>
        <v>360000</v>
      </c>
      <c r="T91" s="52"/>
      <c r="U91" s="42">
        <f>IFERROR(__xludf.DUMMYFUNCTION("""COMPUTED_VALUE"""),0.0)</f>
        <v>0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/>
      <c r="F92" s="52">
        <f>IFERROR(__xludf.DUMMYFUNCTION("""COMPUTED_VALUE"""),2.0)</f>
        <v>2</v>
      </c>
      <c r="G92" s="130">
        <v>50000.0</v>
      </c>
      <c r="H92" s="31">
        <f t="shared" si="23"/>
        <v>100000</v>
      </c>
      <c r="I92" s="31">
        <f t="shared" si="24"/>
        <v>20000</v>
      </c>
      <c r="J92" s="32" t="str">
        <f t="shared" si="25"/>
        <v/>
      </c>
      <c r="K92" s="32"/>
      <c r="L92" s="33">
        <f t="shared" si="26"/>
        <v>0</v>
      </c>
      <c r="M92" s="32"/>
      <c r="N92" s="32"/>
      <c r="O92" s="34">
        <f t="shared" si="27"/>
        <v>120000</v>
      </c>
      <c r="P92" s="44"/>
      <c r="Q92" s="44"/>
      <c r="R92" s="37">
        <f t="shared" si="28"/>
        <v>0</v>
      </c>
      <c r="S92" s="38">
        <f t="shared" si="29"/>
        <v>120000</v>
      </c>
      <c r="T92" s="39"/>
      <c r="U92" s="42">
        <f>IFERROR(__xludf.DUMMYFUNCTION("""COMPUTED_VALUE"""),0.0)</f>
        <v>0</v>
      </c>
    </row>
    <row r="93" ht="37.5" customHeight="1">
      <c r="B93" s="25">
        <v>10.0</v>
      </c>
      <c r="C93" s="97" t="str">
        <f>IFERROR(__xludf.DUMMYFUNCTION("""COMPUTED_VALUE"""),"IIS")</f>
        <v>IIS</v>
      </c>
      <c r="D93" s="131" t="str">
        <f>IFERROR(__xludf.DUMMYFUNCTION("""COMPUTED_VALUE"""),"PACKING")</f>
        <v>PACKING</v>
      </c>
      <c r="E93" s="101"/>
      <c r="F93" s="86">
        <f>IFERROR(__xludf.DUMMYFUNCTION("""COMPUTED_VALUE"""),6.0)</f>
        <v>6</v>
      </c>
      <c r="G93" s="130">
        <v>70000.0</v>
      </c>
      <c r="H93" s="31">
        <f t="shared" si="23"/>
        <v>420000</v>
      </c>
      <c r="I93" s="31">
        <f t="shared" si="24"/>
        <v>60000</v>
      </c>
      <c r="J93" s="32" t="str">
        <f t="shared" si="25"/>
        <v/>
      </c>
      <c r="K93" s="32"/>
      <c r="L93" s="33">
        <f t="shared" si="26"/>
        <v>0</v>
      </c>
      <c r="M93" s="32"/>
      <c r="N93" s="32"/>
      <c r="O93" s="34">
        <f t="shared" si="27"/>
        <v>480000</v>
      </c>
      <c r="P93" s="44"/>
      <c r="Q93" s="44"/>
      <c r="R93" s="37">
        <f t="shared" si="28"/>
        <v>0</v>
      </c>
      <c r="S93" s="38">
        <f t="shared" si="29"/>
        <v>480000</v>
      </c>
      <c r="T93" s="39"/>
      <c r="U93" s="42">
        <f>IFERROR(__xludf.DUMMYFUNCTION("""COMPUTED_VALUE"""),0.0)</f>
        <v>0</v>
      </c>
    </row>
    <row r="94" ht="37.5" customHeight="1">
      <c r="B94" s="25">
        <v>11.0</v>
      </c>
      <c r="C94" s="49"/>
      <c r="D94" s="50"/>
      <c r="E94" s="51"/>
      <c r="F94" s="52">
        <f>IFERROR(__xludf.DUMMYFUNCTION("""COMPUTED_VALUE"""),0.0)</f>
        <v>0</v>
      </c>
      <c r="G94" s="45"/>
      <c r="H94" s="31">
        <f t="shared" si="23"/>
        <v>0</v>
      </c>
      <c r="I94" s="31">
        <f t="shared" si="24"/>
        <v>0</v>
      </c>
      <c r="J94" s="32" t="str">
        <f t="shared" si="25"/>
        <v/>
      </c>
      <c r="K94" s="32"/>
      <c r="L94" s="33">
        <f t="shared" si="26"/>
        <v>0</v>
      </c>
      <c r="M94" s="32"/>
      <c r="N94" s="32"/>
      <c r="O94" s="34">
        <f t="shared" si="27"/>
        <v>0</v>
      </c>
      <c r="P94" s="44"/>
      <c r="Q94" s="44"/>
      <c r="R94" s="37">
        <f t="shared" si="28"/>
        <v>0</v>
      </c>
      <c r="S94" s="38">
        <f t="shared" si="29"/>
        <v>0</v>
      </c>
      <c r="T94" s="39"/>
      <c r="U94" s="42">
        <f>IFERROR(__xludf.DUMMYFUNCTION("""COMPUTED_VALUE"""),0.0)</f>
        <v>0</v>
      </c>
    </row>
    <row r="95" ht="37.5" customHeight="1">
      <c r="B95" s="25">
        <v>12.0</v>
      </c>
      <c r="C95" s="49"/>
      <c r="D95" s="50"/>
      <c r="E95" s="51"/>
      <c r="F95" s="52">
        <f>IFERROR(__xludf.DUMMYFUNCTION("""COMPUTED_VALUE"""),0.0)</f>
        <v>0</v>
      </c>
      <c r="G95" s="45"/>
      <c r="H95" s="31">
        <f t="shared" si="23"/>
        <v>0</v>
      </c>
      <c r="I95" s="31">
        <f t="shared" si="24"/>
        <v>0</v>
      </c>
      <c r="J95" s="32" t="str">
        <f t="shared" si="25"/>
        <v/>
      </c>
      <c r="K95" s="32"/>
      <c r="L95" s="33">
        <f t="shared" si="26"/>
        <v>0</v>
      </c>
      <c r="M95" s="32"/>
      <c r="N95" s="32"/>
      <c r="O95" s="34">
        <f t="shared" si="27"/>
        <v>0</v>
      </c>
      <c r="P95" s="44"/>
      <c r="Q95" s="44"/>
      <c r="R95" s="37">
        <f t="shared" si="28"/>
        <v>0</v>
      </c>
      <c r="S95" s="38">
        <f t="shared" si="29"/>
        <v>0</v>
      </c>
      <c r="T95" s="39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51"/>
      <c r="F96" s="52">
        <f>IFERROR(__xludf.DUMMYFUNCTION("""COMPUTED_VALUE"""),0.0)</f>
        <v>0</v>
      </c>
      <c r="G96" s="45"/>
      <c r="H96" s="31">
        <f t="shared" si="23"/>
        <v>0</v>
      </c>
      <c r="I96" s="31">
        <f t="shared" si="24"/>
        <v>0</v>
      </c>
      <c r="J96" s="32" t="str">
        <f t="shared" si="25"/>
        <v/>
      </c>
      <c r="K96" s="32"/>
      <c r="L96" s="33">
        <f t="shared" si="26"/>
        <v>0</v>
      </c>
      <c r="M96" s="32"/>
      <c r="N96" s="32"/>
      <c r="O96" s="34">
        <f t="shared" si="27"/>
        <v>0</v>
      </c>
      <c r="P96" s="44"/>
      <c r="Q96" s="44"/>
      <c r="R96" s="37">
        <f t="shared" si="28"/>
        <v>0</v>
      </c>
      <c r="S96" s="38">
        <f t="shared" si="29"/>
        <v>0</v>
      </c>
      <c r="T96" s="39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51"/>
      <c r="F97" s="52">
        <f>IFERROR(__xludf.DUMMYFUNCTION("""COMPUTED_VALUE"""),0.0)</f>
        <v>0</v>
      </c>
      <c r="G97" s="45"/>
      <c r="H97" s="31">
        <f t="shared" si="23"/>
        <v>0</v>
      </c>
      <c r="I97" s="31">
        <f t="shared" si="24"/>
        <v>0</v>
      </c>
      <c r="J97" s="32" t="str">
        <f t="shared" si="25"/>
        <v/>
      </c>
      <c r="K97" s="32"/>
      <c r="L97" s="33">
        <f t="shared" si="26"/>
        <v>0</v>
      </c>
      <c r="M97" s="32"/>
      <c r="N97" s="32"/>
      <c r="O97" s="34">
        <f t="shared" si="27"/>
        <v>0</v>
      </c>
      <c r="P97" s="44"/>
      <c r="Q97" s="44"/>
      <c r="R97" s="37">
        <f t="shared" si="28"/>
        <v>0</v>
      </c>
      <c r="S97" s="38">
        <f t="shared" si="29"/>
        <v>0</v>
      </c>
      <c r="T97" s="39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0"/>
      <c r="E98" s="51"/>
      <c r="F98" s="52">
        <f>IFERROR(__xludf.DUMMYFUNCTION("""COMPUTED_VALUE"""),0.0)</f>
        <v>0</v>
      </c>
      <c r="G98" s="45"/>
      <c r="H98" s="31">
        <f t="shared" si="23"/>
        <v>0</v>
      </c>
      <c r="I98" s="31">
        <f t="shared" si="24"/>
        <v>0</v>
      </c>
      <c r="J98" s="32" t="str">
        <f t="shared" si="25"/>
        <v/>
      </c>
      <c r="K98" s="32"/>
      <c r="L98" s="33">
        <f t="shared" si="26"/>
        <v>0</v>
      </c>
      <c r="M98" s="32"/>
      <c r="N98" s="32"/>
      <c r="O98" s="34">
        <f t="shared" si="27"/>
        <v>0</v>
      </c>
      <c r="P98" s="44"/>
      <c r="Q98" s="44"/>
      <c r="R98" s="37">
        <f t="shared" si="28"/>
        <v>0</v>
      </c>
      <c r="S98" s="38">
        <f t="shared" si="29"/>
        <v>0</v>
      </c>
      <c r="T98" s="39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3"/>
        <v>0</v>
      </c>
      <c r="I99" s="31">
        <f t="shared" si="24"/>
        <v>0</v>
      </c>
      <c r="J99" s="32" t="str">
        <f t="shared" si="25"/>
        <v/>
      </c>
      <c r="K99" s="32"/>
      <c r="L99" s="33">
        <f t="shared" si="26"/>
        <v>0</v>
      </c>
      <c r="M99" s="32"/>
      <c r="N99" s="32"/>
      <c r="O99" s="34">
        <f t="shared" si="27"/>
        <v>0</v>
      </c>
      <c r="P99" s="44"/>
      <c r="Q99" s="44"/>
      <c r="R99" s="37">
        <f t="shared" si="28"/>
        <v>0</v>
      </c>
      <c r="S99" s="38">
        <f t="shared" si="29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3"/>
        <v>0</v>
      </c>
      <c r="I100" s="31">
        <f t="shared" si="24"/>
        <v>0</v>
      </c>
      <c r="J100" s="32" t="str">
        <f t="shared" si="25"/>
        <v/>
      </c>
      <c r="K100" s="32"/>
      <c r="L100" s="33">
        <f t="shared" si="26"/>
        <v>0</v>
      </c>
      <c r="M100" s="32"/>
      <c r="N100" s="32"/>
      <c r="O100" s="34">
        <f t="shared" si="27"/>
        <v>0</v>
      </c>
      <c r="P100" s="44"/>
      <c r="Q100" s="44"/>
      <c r="R100" s="37">
        <f t="shared" si="28"/>
        <v>0</v>
      </c>
      <c r="S100" s="38">
        <f t="shared" si="29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3"/>
        <v>0</v>
      </c>
      <c r="I101" s="31">
        <f t="shared" si="24"/>
        <v>0</v>
      </c>
      <c r="J101" s="32" t="str">
        <f t="shared" si="25"/>
        <v/>
      </c>
      <c r="K101" s="32"/>
      <c r="L101" s="33">
        <f t="shared" si="26"/>
        <v>0</v>
      </c>
      <c r="M101" s="32"/>
      <c r="N101" s="32"/>
      <c r="O101" s="34">
        <f t="shared" si="27"/>
        <v>0</v>
      </c>
      <c r="P101" s="44"/>
      <c r="Q101" s="44"/>
      <c r="R101" s="37">
        <f t="shared" si="28"/>
        <v>0</v>
      </c>
      <c r="S101" s="38">
        <f t="shared" si="29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3"/>
        <v>0</v>
      </c>
      <c r="I102" s="31">
        <f t="shared" si="24"/>
        <v>0</v>
      </c>
      <c r="J102" s="32" t="str">
        <f t="shared" si="25"/>
        <v/>
      </c>
      <c r="K102" s="32"/>
      <c r="L102" s="33">
        <f t="shared" si="26"/>
        <v>0</v>
      </c>
      <c r="M102" s="32"/>
      <c r="N102" s="32"/>
      <c r="O102" s="34">
        <f t="shared" si="27"/>
        <v>0</v>
      </c>
      <c r="P102" s="44"/>
      <c r="Q102" s="44"/>
      <c r="R102" s="37">
        <f t="shared" si="28"/>
        <v>0</v>
      </c>
      <c r="S102" s="38">
        <f t="shared" si="29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3"/>
        <v>0</v>
      </c>
      <c r="I103" s="31">
        <f t="shared" si="24"/>
        <v>0</v>
      </c>
      <c r="J103" s="32" t="str">
        <f t="shared" si="25"/>
        <v/>
      </c>
      <c r="K103" s="32"/>
      <c r="L103" s="33">
        <f t="shared" si="26"/>
        <v>0</v>
      </c>
      <c r="M103" s="32"/>
      <c r="N103" s="32"/>
      <c r="O103" s="34">
        <f t="shared" si="27"/>
        <v>0</v>
      </c>
      <c r="P103" s="44"/>
      <c r="Q103" s="44"/>
      <c r="R103" s="37">
        <f t="shared" si="28"/>
        <v>0</v>
      </c>
      <c r="S103" s="38">
        <f t="shared" si="29"/>
        <v>0</v>
      </c>
      <c r="T103" s="51"/>
      <c r="U103" s="42">
        <f>IFERROR(__xludf.DUMMYFUNCTION("""COMPUTED_VALUE"""),0.0)</f>
        <v>0</v>
      </c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3"/>
        <v>0</v>
      </c>
      <c r="I104" s="31">
        <f t="shared" si="24"/>
        <v>0</v>
      </c>
      <c r="J104" s="32" t="str">
        <f t="shared" si="25"/>
        <v/>
      </c>
      <c r="K104" s="32"/>
      <c r="L104" s="33">
        <f t="shared" si="26"/>
        <v>0</v>
      </c>
      <c r="M104" s="32"/>
      <c r="N104" s="32"/>
      <c r="O104" s="34">
        <f t="shared" si="27"/>
        <v>0</v>
      </c>
      <c r="P104" s="44"/>
      <c r="Q104" s="44"/>
      <c r="R104" s="37">
        <f t="shared" si="28"/>
        <v>0</v>
      </c>
      <c r="S104" s="38">
        <f t="shared" si="29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3"/>
        <v>0</v>
      </c>
      <c r="I105" s="31">
        <f t="shared" si="24"/>
        <v>0</v>
      </c>
      <c r="J105" s="32" t="str">
        <f t="shared" si="25"/>
        <v/>
      </c>
      <c r="K105" s="32"/>
      <c r="L105" s="33">
        <f t="shared" si="26"/>
        <v>0</v>
      </c>
      <c r="M105" s="32"/>
      <c r="N105" s="32"/>
      <c r="O105" s="34">
        <f t="shared" si="27"/>
        <v>0</v>
      </c>
      <c r="P105" s="44"/>
      <c r="Q105" s="44"/>
      <c r="R105" s="37">
        <f t="shared" si="28"/>
        <v>0</v>
      </c>
      <c r="S105" s="38">
        <f t="shared" si="29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3800000</v>
      </c>
      <c r="T106" s="57"/>
      <c r="U106" s="58"/>
    </row>
    <row r="107" ht="37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IFERROR(__xludf.DUMMYFUNCTION("IMPORTRANGE(""https://docs.google.com/spreadsheets/d/17TnzcKnlaqlAyM_3lnNpgK5CAOPbscCCRVH50X8UulY/edit?usp=sharing"",""MEI!B94"")"),"TANGGAL : 25-30 MEI 2026")</f>
        <v>TANGGAL : 25-30 MEI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IFERROR(__xludf.DUMMYFUNCTION("IMPORTRANGE(""https://docs.google.com/spreadsheets/d/17TnzcKnlaqlAyM_3lnNpgK5CAOPbscCCRVH50X8UulY/edit?usp=sharing"",""MEI!B95:D114"")"),"EPUL")</f>
        <v>EPUL</v>
      </c>
      <c r="D109" s="27" t="str">
        <f>IFERROR(__xludf.DUMMYFUNCTION("""COMPUTED_VALUE"""),"KEPALA")</f>
        <v>KEPALA</v>
      </c>
      <c r="E109" s="28"/>
      <c r="F109" s="52">
        <f>IFERROR(__xludf.DUMMYFUNCTION("IMPORTRANGE(""https://docs.google.com/spreadsheets/d/17TnzcKnlaqlAyM_3lnNpgK5CAOPbscCCRVH50X8UulY/edit?usp=sharing"",""MEI!K95:K113"")"),5.0)</f>
        <v>5</v>
      </c>
      <c r="G109" s="133">
        <v>110000.0</v>
      </c>
      <c r="H109" s="31">
        <f t="shared" ref="H109:H130" si="30">F109*G109</f>
        <v>550000</v>
      </c>
      <c r="I109" s="31">
        <f t="shared" ref="I109:I130" si="31">F109*10000</f>
        <v>50000</v>
      </c>
      <c r="J109" s="32" t="str">
        <f t="shared" ref="J109:J130" si="32">IF(E109="SHIFT 2",I109,"")</f>
        <v/>
      </c>
      <c r="K109" s="32"/>
      <c r="L109" s="33">
        <f t="shared" ref="L109:L130" si="33">U109*$L$108</f>
        <v>0</v>
      </c>
      <c r="M109" s="32"/>
      <c r="N109" s="32"/>
      <c r="O109" s="34">
        <f t="shared" ref="O109:O130" si="34">SUM(H109:N109)</f>
        <v>600000</v>
      </c>
      <c r="P109" s="36"/>
      <c r="Q109" s="36"/>
      <c r="R109" s="37">
        <f t="shared" ref="R109:R130" si="35">SUM(P109:Q109)</f>
        <v>0</v>
      </c>
      <c r="S109" s="38">
        <f t="shared" ref="S109:S130" si="36">O109-R109</f>
        <v>600000</v>
      </c>
      <c r="T109" s="52" t="str">
        <f>IFERROR(__xludf.DUMMYFUNCTION("IMPORTRANGE(""https://docs.google.com/spreadsheets/d/17TnzcKnlaqlAyM_3lnNpgK5CAOPbscCCRVH50X8UulY/edit?usp=sharing"",""MEI!L95:L114"")"),"")</f>
        <v/>
      </c>
      <c r="U109" s="42">
        <f>IFERROR(__xludf.DUMMYFUNCTION("IMPORTRANGE(""https://docs.google.com/spreadsheets/d/17TnzcKnlaqlAyM_3lnNpgK5CAOPbscCCRVH50X8UulY/edit?usp=sharing"",""MEI!U95:U114"")"),0.0)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/>
      <c r="F110" s="52">
        <f>IFERROR(__xludf.DUMMYFUNCTION("""COMPUTED_VALUE"""),5.0)</f>
        <v>5</v>
      </c>
      <c r="G110" s="133">
        <v>70000.0</v>
      </c>
      <c r="H110" s="31">
        <f t="shared" si="30"/>
        <v>350000</v>
      </c>
      <c r="I110" s="31">
        <f t="shared" si="31"/>
        <v>50000</v>
      </c>
      <c r="J110" s="32" t="str">
        <f t="shared" si="32"/>
        <v/>
      </c>
      <c r="K110" s="41"/>
      <c r="L110" s="33">
        <f t="shared" si="33"/>
        <v>0</v>
      </c>
      <c r="M110" s="41"/>
      <c r="N110" s="41"/>
      <c r="O110" s="34">
        <f t="shared" si="34"/>
        <v>400000</v>
      </c>
      <c r="P110" s="36"/>
      <c r="Q110" s="36"/>
      <c r="R110" s="37">
        <f t="shared" si="35"/>
        <v>0</v>
      </c>
      <c r="S110" s="38">
        <f t="shared" si="36"/>
        <v>400000</v>
      </c>
      <c r="T110" s="52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 t="str">
        <f>IFERROR(__xludf.DUMMYFUNCTION("""COMPUTED_VALUE"""),"KHRYSSAN")</f>
        <v>KHRYSSAN</v>
      </c>
      <c r="D111" s="27" t="str">
        <f>IFERROR(__xludf.DUMMYFUNCTION("""COMPUTED_VALUE"""),"ADMIN")</f>
        <v>ADMIN</v>
      </c>
      <c r="E111" s="28"/>
      <c r="F111" s="52">
        <f>IFERROR(__xludf.DUMMYFUNCTION("""COMPUTED_VALUE"""),5.0)</f>
        <v>5</v>
      </c>
      <c r="G111" s="133">
        <v>70000.0</v>
      </c>
      <c r="H111" s="31">
        <f t="shared" si="30"/>
        <v>350000</v>
      </c>
      <c r="I111" s="31">
        <f t="shared" si="31"/>
        <v>50000</v>
      </c>
      <c r="J111" s="32" t="str">
        <f t="shared" si="32"/>
        <v/>
      </c>
      <c r="K111" s="41"/>
      <c r="L111" s="33">
        <f t="shared" si="33"/>
        <v>0</v>
      </c>
      <c r="M111" s="41"/>
      <c r="N111" s="41"/>
      <c r="O111" s="34">
        <f t="shared" si="34"/>
        <v>400000</v>
      </c>
      <c r="P111" s="36"/>
      <c r="Q111" s="36"/>
      <c r="R111" s="37">
        <f t="shared" si="35"/>
        <v>0</v>
      </c>
      <c r="S111" s="38">
        <f t="shared" si="36"/>
        <v>400000</v>
      </c>
      <c r="T111" s="52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IFERROR(__xludf.DUMMYFUNCTION("""COMPUTED_VALUE"""),"ANDRI")</f>
        <v>ANDRI</v>
      </c>
      <c r="D112" s="27" t="str">
        <f>IFERROR(__xludf.DUMMYFUNCTION("""COMPUTED_VALUE"""),"DESIGN BORDIR")</f>
        <v>DESIGN BORDIR</v>
      </c>
      <c r="E112" s="28"/>
      <c r="F112" s="52">
        <f>IFERROR(__xludf.DUMMYFUNCTION("""COMPUTED_VALUE"""),0.0)</f>
        <v>0</v>
      </c>
      <c r="G112" s="133">
        <v>70000.0</v>
      </c>
      <c r="H112" s="31">
        <f t="shared" si="30"/>
        <v>0</v>
      </c>
      <c r="I112" s="31">
        <f t="shared" si="31"/>
        <v>0</v>
      </c>
      <c r="J112" s="32" t="str">
        <f t="shared" si="32"/>
        <v/>
      </c>
      <c r="K112" s="32"/>
      <c r="L112" s="33">
        <f t="shared" si="33"/>
        <v>0</v>
      </c>
      <c r="M112" s="32"/>
      <c r="N112" s="32"/>
      <c r="O112" s="34">
        <f t="shared" si="34"/>
        <v>0</v>
      </c>
      <c r="P112" s="36"/>
      <c r="Q112" s="36"/>
      <c r="R112" s="37">
        <f t="shared" si="35"/>
        <v>0</v>
      </c>
      <c r="S112" s="38">
        <f t="shared" si="36"/>
        <v>0</v>
      </c>
      <c r="T112" s="52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IFERROR(__xludf.DUMMYFUNCTION("""COMPUTED_VALUE"""),"ADIT")</f>
        <v>ADIT</v>
      </c>
      <c r="D113" s="27" t="str">
        <f>IFERROR(__xludf.DUMMYFUNCTION("""COMPUTED_VALUE"""),"CREATOR")</f>
        <v>CREATOR</v>
      </c>
      <c r="E113" s="28"/>
      <c r="F113" s="52">
        <f>IFERROR(__xludf.DUMMYFUNCTION("""COMPUTED_VALUE"""),0.0)</f>
        <v>0</v>
      </c>
      <c r="G113" s="133">
        <v>50000.0</v>
      </c>
      <c r="H113" s="31">
        <f t="shared" si="30"/>
        <v>0</v>
      </c>
      <c r="I113" s="31">
        <f t="shared" si="31"/>
        <v>0</v>
      </c>
      <c r="J113" s="32" t="str">
        <f t="shared" si="32"/>
        <v/>
      </c>
      <c r="K113" s="32"/>
      <c r="L113" s="33">
        <f t="shared" si="33"/>
        <v>0</v>
      </c>
      <c r="M113" s="32"/>
      <c r="N113" s="32"/>
      <c r="O113" s="34">
        <f t="shared" si="34"/>
        <v>0</v>
      </c>
      <c r="P113" s="36"/>
      <c r="Q113" s="36"/>
      <c r="R113" s="37">
        <f t="shared" si="35"/>
        <v>0</v>
      </c>
      <c r="S113" s="38">
        <f t="shared" si="36"/>
        <v>0</v>
      </c>
      <c r="T113" s="52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/>
      <c r="F114" s="52">
        <f>IFERROR(__xludf.DUMMYFUNCTION("""COMPUTED_VALUE"""),5.0)</f>
        <v>5</v>
      </c>
      <c r="G114" s="133">
        <v>70000.0</v>
      </c>
      <c r="H114" s="31">
        <f t="shared" si="30"/>
        <v>350000</v>
      </c>
      <c r="I114" s="31">
        <f t="shared" si="31"/>
        <v>50000</v>
      </c>
      <c r="J114" s="32" t="str">
        <f t="shared" si="32"/>
        <v/>
      </c>
      <c r="K114" s="32"/>
      <c r="L114" s="33">
        <f t="shared" si="33"/>
        <v>0</v>
      </c>
      <c r="M114" s="32"/>
      <c r="N114" s="32"/>
      <c r="O114" s="34">
        <f t="shared" si="34"/>
        <v>400000</v>
      </c>
      <c r="P114" s="36"/>
      <c r="Q114" s="36"/>
      <c r="R114" s="37">
        <f t="shared" si="35"/>
        <v>0</v>
      </c>
      <c r="S114" s="38">
        <f t="shared" si="36"/>
        <v>400000</v>
      </c>
      <c r="T114" s="52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/>
      <c r="F115" s="52">
        <f>IFERROR(__xludf.DUMMYFUNCTION("""COMPUTED_VALUE"""),5.0)</f>
        <v>5</v>
      </c>
      <c r="G115" s="133">
        <v>70000.0</v>
      </c>
      <c r="H115" s="31">
        <f t="shared" si="30"/>
        <v>350000</v>
      </c>
      <c r="I115" s="31">
        <f t="shared" si="31"/>
        <v>50000</v>
      </c>
      <c r="J115" s="32" t="str">
        <f t="shared" si="32"/>
        <v/>
      </c>
      <c r="K115" s="32"/>
      <c r="L115" s="33">
        <f t="shared" si="33"/>
        <v>0</v>
      </c>
      <c r="M115" s="32"/>
      <c r="N115" s="32"/>
      <c r="O115" s="34">
        <f t="shared" si="34"/>
        <v>400000</v>
      </c>
      <c r="P115" s="36"/>
      <c r="Q115" s="36"/>
      <c r="R115" s="37">
        <f t="shared" si="35"/>
        <v>0</v>
      </c>
      <c r="S115" s="38">
        <f t="shared" si="36"/>
        <v>400000</v>
      </c>
      <c r="T115" s="52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/>
      <c r="F116" s="52">
        <f>IFERROR(__xludf.DUMMYFUNCTION("""COMPUTED_VALUE"""),5.0)</f>
        <v>5</v>
      </c>
      <c r="G116" s="133">
        <v>50000.0</v>
      </c>
      <c r="H116" s="31">
        <f t="shared" si="30"/>
        <v>250000</v>
      </c>
      <c r="I116" s="31">
        <f t="shared" si="31"/>
        <v>50000</v>
      </c>
      <c r="J116" s="32" t="str">
        <f t="shared" si="32"/>
        <v/>
      </c>
      <c r="K116" s="32"/>
      <c r="L116" s="33">
        <f t="shared" si="33"/>
        <v>0</v>
      </c>
      <c r="M116" s="32"/>
      <c r="N116" s="32"/>
      <c r="O116" s="34">
        <f t="shared" si="34"/>
        <v>300000</v>
      </c>
      <c r="P116" s="36"/>
      <c r="Q116" s="36"/>
      <c r="R116" s="37">
        <f t="shared" si="35"/>
        <v>0</v>
      </c>
      <c r="S116" s="38">
        <f t="shared" si="36"/>
        <v>300000</v>
      </c>
      <c r="T116" s="52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/>
      <c r="F117" s="52">
        <f>IFERROR(__xludf.DUMMYFUNCTION("""COMPUTED_VALUE"""),5.0)</f>
        <v>5</v>
      </c>
      <c r="G117" s="133">
        <v>50000.0</v>
      </c>
      <c r="H117" s="31">
        <f t="shared" si="30"/>
        <v>250000</v>
      </c>
      <c r="I117" s="31">
        <f t="shared" si="31"/>
        <v>50000</v>
      </c>
      <c r="J117" s="32" t="str">
        <f t="shared" si="32"/>
        <v/>
      </c>
      <c r="K117" s="32"/>
      <c r="L117" s="33">
        <f t="shared" si="33"/>
        <v>0</v>
      </c>
      <c r="M117" s="32"/>
      <c r="N117" s="32"/>
      <c r="O117" s="34">
        <f t="shared" si="34"/>
        <v>300000</v>
      </c>
      <c r="P117" s="36"/>
      <c r="Q117" s="36"/>
      <c r="R117" s="37">
        <f t="shared" si="35"/>
        <v>0</v>
      </c>
      <c r="S117" s="38">
        <f t="shared" si="36"/>
        <v>300000</v>
      </c>
      <c r="T117" s="39"/>
      <c r="U117" s="42">
        <f>IFERROR(__xludf.DUMMYFUNCTION("""COMPUTED_VALUE"""),0.0)</f>
        <v>0</v>
      </c>
    </row>
    <row r="118" ht="37.5" customHeight="1">
      <c r="B118" s="25">
        <v>10.0</v>
      </c>
      <c r="C118" s="97" t="str">
        <f>IFERROR(__xludf.DUMMYFUNCTION("""COMPUTED_VALUE"""),"IIS")</f>
        <v>IIS</v>
      </c>
      <c r="D118" s="131" t="str">
        <f>IFERROR(__xludf.DUMMYFUNCTION("""COMPUTED_VALUE"""),"PACKING")</f>
        <v>PACKING</v>
      </c>
      <c r="E118" s="101"/>
      <c r="F118" s="86">
        <f>IFERROR(__xludf.DUMMYFUNCTION("""COMPUTED_VALUE"""),5.0)</f>
        <v>5</v>
      </c>
      <c r="G118" s="133">
        <v>70000.0</v>
      </c>
      <c r="H118" s="31">
        <f t="shared" si="30"/>
        <v>350000</v>
      </c>
      <c r="I118" s="31">
        <f t="shared" si="31"/>
        <v>50000</v>
      </c>
      <c r="J118" s="32" t="str">
        <f t="shared" si="32"/>
        <v/>
      </c>
      <c r="K118" s="32"/>
      <c r="L118" s="33">
        <f t="shared" si="33"/>
        <v>0</v>
      </c>
      <c r="M118" s="32"/>
      <c r="N118" s="32"/>
      <c r="O118" s="34">
        <f t="shared" si="34"/>
        <v>400000</v>
      </c>
      <c r="P118" s="36"/>
      <c r="Q118" s="36"/>
      <c r="R118" s="37">
        <f t="shared" si="35"/>
        <v>0</v>
      </c>
      <c r="S118" s="38">
        <f t="shared" si="36"/>
        <v>400000</v>
      </c>
      <c r="T118" s="39"/>
      <c r="U118" s="42">
        <f>IFERROR(__xludf.DUMMYFUNCTION("""COMPUTED_VALUE"""),0.0)</f>
        <v>0</v>
      </c>
    </row>
    <row r="119" ht="37.5" customHeight="1">
      <c r="B119" s="25">
        <v>11.0</v>
      </c>
      <c r="C119" s="49"/>
      <c r="D119" s="50"/>
      <c r="E119" s="51"/>
      <c r="F119" s="52">
        <f>IFERROR(__xludf.DUMMYFUNCTION("""COMPUTED_VALUE"""),0.0)</f>
        <v>0</v>
      </c>
      <c r="G119" s="45"/>
      <c r="H119" s="31">
        <f t="shared" si="30"/>
        <v>0</v>
      </c>
      <c r="I119" s="31">
        <f t="shared" si="31"/>
        <v>0</v>
      </c>
      <c r="J119" s="32" t="str">
        <f t="shared" si="32"/>
        <v/>
      </c>
      <c r="K119" s="32"/>
      <c r="L119" s="33">
        <f t="shared" si="33"/>
        <v>0</v>
      </c>
      <c r="M119" s="32"/>
      <c r="N119" s="32"/>
      <c r="O119" s="34">
        <f t="shared" si="34"/>
        <v>0</v>
      </c>
      <c r="P119" s="44"/>
      <c r="Q119" s="44"/>
      <c r="R119" s="37">
        <f t="shared" si="35"/>
        <v>0</v>
      </c>
      <c r="S119" s="38">
        <f t="shared" si="36"/>
        <v>0</v>
      </c>
      <c r="T119" s="39"/>
      <c r="U119" s="42">
        <f>IFERROR(__xludf.DUMMYFUNCTION("""COMPUTED_VALUE"""),0.0)</f>
        <v>0</v>
      </c>
    </row>
    <row r="120" ht="37.5" customHeight="1">
      <c r="B120" s="25">
        <v>12.0</v>
      </c>
      <c r="C120" s="49"/>
      <c r="D120" s="50"/>
      <c r="E120" s="51"/>
      <c r="F120" s="52">
        <f>IFERROR(__xludf.DUMMYFUNCTION("""COMPUTED_VALUE"""),0.0)</f>
        <v>0</v>
      </c>
      <c r="G120" s="45"/>
      <c r="H120" s="31">
        <f t="shared" si="30"/>
        <v>0</v>
      </c>
      <c r="I120" s="31">
        <f t="shared" si="31"/>
        <v>0</v>
      </c>
      <c r="J120" s="32" t="str">
        <f t="shared" si="32"/>
        <v/>
      </c>
      <c r="K120" s="32"/>
      <c r="L120" s="33">
        <f t="shared" si="33"/>
        <v>0</v>
      </c>
      <c r="M120" s="32"/>
      <c r="N120" s="32"/>
      <c r="O120" s="34">
        <f t="shared" si="34"/>
        <v>0</v>
      </c>
      <c r="P120" s="44"/>
      <c r="Q120" s="44"/>
      <c r="R120" s="37">
        <f t="shared" si="35"/>
        <v>0</v>
      </c>
      <c r="S120" s="38">
        <f t="shared" si="36"/>
        <v>0</v>
      </c>
      <c r="T120" s="39"/>
      <c r="U120" s="42">
        <f>IFERROR(__xludf.DUMMYFUNCTION("""COMPUTED_VALUE"""),0.0)</f>
        <v>0</v>
      </c>
    </row>
    <row r="121" ht="37.5" customHeight="1">
      <c r="B121" s="25">
        <v>13.0</v>
      </c>
      <c r="C121" s="49"/>
      <c r="D121" s="50"/>
      <c r="E121" s="51"/>
      <c r="F121" s="52">
        <f>IFERROR(__xludf.DUMMYFUNCTION("""COMPUTED_VALUE"""),0.0)</f>
        <v>0</v>
      </c>
      <c r="G121" s="45"/>
      <c r="H121" s="31">
        <f t="shared" si="30"/>
        <v>0</v>
      </c>
      <c r="I121" s="31">
        <f t="shared" si="31"/>
        <v>0</v>
      </c>
      <c r="J121" s="32" t="str">
        <f t="shared" si="32"/>
        <v/>
      </c>
      <c r="K121" s="32"/>
      <c r="L121" s="33">
        <f t="shared" si="33"/>
        <v>0</v>
      </c>
      <c r="M121" s="32"/>
      <c r="N121" s="32"/>
      <c r="O121" s="34">
        <f t="shared" si="34"/>
        <v>0</v>
      </c>
      <c r="P121" s="36"/>
      <c r="Q121" s="36"/>
      <c r="R121" s="37">
        <f t="shared" si="35"/>
        <v>0</v>
      </c>
      <c r="S121" s="38">
        <f t="shared" si="36"/>
        <v>0</v>
      </c>
      <c r="T121" s="39"/>
      <c r="U121" s="42">
        <f>IFERROR(__xludf.DUMMYFUNCTION("""COMPUTED_VALUE"""),0.0)</f>
        <v>0</v>
      </c>
    </row>
    <row r="122" ht="37.5" customHeight="1">
      <c r="B122" s="25">
        <v>14.0</v>
      </c>
      <c r="C122" s="49"/>
      <c r="D122" s="50"/>
      <c r="E122" s="51"/>
      <c r="F122" s="52">
        <f>IFERROR(__xludf.DUMMYFUNCTION("""COMPUTED_VALUE"""),0.0)</f>
        <v>0</v>
      </c>
      <c r="G122" s="45"/>
      <c r="H122" s="31">
        <f t="shared" si="30"/>
        <v>0</v>
      </c>
      <c r="I122" s="31">
        <f t="shared" si="31"/>
        <v>0</v>
      </c>
      <c r="J122" s="32" t="str">
        <f t="shared" si="32"/>
        <v/>
      </c>
      <c r="K122" s="32"/>
      <c r="L122" s="33">
        <f t="shared" si="33"/>
        <v>0</v>
      </c>
      <c r="M122" s="32"/>
      <c r="N122" s="32"/>
      <c r="O122" s="34">
        <f t="shared" si="34"/>
        <v>0</v>
      </c>
      <c r="P122" s="44"/>
      <c r="Q122" s="44"/>
      <c r="R122" s="37">
        <f t="shared" si="35"/>
        <v>0</v>
      </c>
      <c r="S122" s="38">
        <f t="shared" si="36"/>
        <v>0</v>
      </c>
      <c r="T122" s="39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0"/>
      <c r="E123" s="51"/>
      <c r="F123" s="52">
        <f>IFERROR(__xludf.DUMMYFUNCTION("""COMPUTED_VALUE"""),0.0)</f>
        <v>0</v>
      </c>
      <c r="G123" s="45"/>
      <c r="H123" s="31">
        <f t="shared" si="30"/>
        <v>0</v>
      </c>
      <c r="I123" s="31">
        <f t="shared" si="31"/>
        <v>0</v>
      </c>
      <c r="J123" s="32" t="str">
        <f t="shared" si="32"/>
        <v/>
      </c>
      <c r="K123" s="32"/>
      <c r="L123" s="33">
        <f t="shared" si="33"/>
        <v>0</v>
      </c>
      <c r="M123" s="32"/>
      <c r="N123" s="32"/>
      <c r="O123" s="34">
        <f t="shared" si="34"/>
        <v>0</v>
      </c>
      <c r="P123" s="44"/>
      <c r="Q123" s="44"/>
      <c r="R123" s="37">
        <f t="shared" si="35"/>
        <v>0</v>
      </c>
      <c r="S123" s="38">
        <f t="shared" si="36"/>
        <v>0</v>
      </c>
      <c r="T123" s="39"/>
      <c r="U123" s="42">
        <f>IFERROR(__xludf.DUMMYFUNCTION("""COMPUTED_VALUE"""),0.0)</f>
        <v>0</v>
      </c>
    </row>
    <row r="124" ht="37.5" customHeight="1">
      <c r="B124" s="25">
        <v>16.0</v>
      </c>
      <c r="C124" s="49"/>
      <c r="D124" s="50"/>
      <c r="E124" s="51"/>
      <c r="F124" s="52">
        <f>IFERROR(__xludf.DUMMYFUNCTION("""COMPUTED_VALUE"""),0.0)</f>
        <v>0</v>
      </c>
      <c r="G124" s="45"/>
      <c r="H124" s="31">
        <f t="shared" si="30"/>
        <v>0</v>
      </c>
      <c r="I124" s="31">
        <f t="shared" si="31"/>
        <v>0</v>
      </c>
      <c r="J124" s="32" t="str">
        <f t="shared" si="32"/>
        <v/>
      </c>
      <c r="K124" s="32"/>
      <c r="L124" s="33">
        <f t="shared" si="33"/>
        <v>0</v>
      </c>
      <c r="M124" s="32"/>
      <c r="N124" s="32"/>
      <c r="O124" s="34">
        <f t="shared" si="34"/>
        <v>0</v>
      </c>
      <c r="P124" s="44"/>
      <c r="Q124" s="44"/>
      <c r="R124" s="37">
        <f t="shared" si="35"/>
        <v>0</v>
      </c>
      <c r="S124" s="38">
        <f t="shared" si="36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49"/>
      <c r="D125" s="50"/>
      <c r="E125" s="51"/>
      <c r="F125" s="52">
        <f>IFERROR(__xludf.DUMMYFUNCTION("""COMPUTED_VALUE"""),0.0)</f>
        <v>0</v>
      </c>
      <c r="G125" s="45"/>
      <c r="H125" s="31">
        <f t="shared" si="30"/>
        <v>0</v>
      </c>
      <c r="I125" s="31">
        <f t="shared" si="31"/>
        <v>0</v>
      </c>
      <c r="J125" s="32" t="str">
        <f t="shared" si="32"/>
        <v/>
      </c>
      <c r="K125" s="32"/>
      <c r="L125" s="33">
        <f t="shared" si="33"/>
        <v>0</v>
      </c>
      <c r="M125" s="32"/>
      <c r="N125" s="32"/>
      <c r="O125" s="34">
        <f t="shared" si="34"/>
        <v>0</v>
      </c>
      <c r="P125" s="44"/>
      <c r="Q125" s="44"/>
      <c r="R125" s="37">
        <f t="shared" si="35"/>
        <v>0</v>
      </c>
      <c r="S125" s="38">
        <f t="shared" si="36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0"/>
        <v>0</v>
      </c>
      <c r="I126" s="31">
        <f t="shared" si="31"/>
        <v>0</v>
      </c>
      <c r="J126" s="32" t="str">
        <f t="shared" si="32"/>
        <v/>
      </c>
      <c r="K126" s="32"/>
      <c r="L126" s="33">
        <f t="shared" si="33"/>
        <v>0</v>
      </c>
      <c r="M126" s="32"/>
      <c r="N126" s="32"/>
      <c r="O126" s="34">
        <f t="shared" si="34"/>
        <v>0</v>
      </c>
      <c r="P126" s="44"/>
      <c r="Q126" s="44"/>
      <c r="R126" s="37">
        <f t="shared" si="35"/>
        <v>0</v>
      </c>
      <c r="S126" s="38">
        <f t="shared" si="36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0"/>
        <v>0</v>
      </c>
      <c r="I127" s="31">
        <f t="shared" si="31"/>
        <v>0</v>
      </c>
      <c r="J127" s="32" t="str">
        <f t="shared" si="32"/>
        <v/>
      </c>
      <c r="K127" s="32"/>
      <c r="L127" s="33">
        <f t="shared" si="33"/>
        <v>0</v>
      </c>
      <c r="M127" s="32"/>
      <c r="N127" s="32"/>
      <c r="O127" s="34">
        <f t="shared" si="34"/>
        <v>0</v>
      </c>
      <c r="P127" s="44"/>
      <c r="Q127" s="44"/>
      <c r="R127" s="37">
        <f t="shared" si="35"/>
        <v>0</v>
      </c>
      <c r="S127" s="38">
        <f t="shared" si="36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0"/>
        <v>0</v>
      </c>
      <c r="I128" s="31">
        <f t="shared" si="31"/>
        <v>0</v>
      </c>
      <c r="J128" s="32" t="str">
        <f t="shared" si="32"/>
        <v/>
      </c>
      <c r="K128" s="32"/>
      <c r="L128" s="33">
        <f t="shared" si="33"/>
        <v>0</v>
      </c>
      <c r="M128" s="32"/>
      <c r="N128" s="32"/>
      <c r="O128" s="34">
        <f t="shared" si="34"/>
        <v>0</v>
      </c>
      <c r="P128" s="44"/>
      <c r="Q128" s="44"/>
      <c r="R128" s="37">
        <f t="shared" si="35"/>
        <v>0</v>
      </c>
      <c r="S128" s="38">
        <f t="shared" si="36"/>
        <v>0</v>
      </c>
      <c r="T128" s="51"/>
      <c r="U128" s="42">
        <f>IFERROR(__xludf.DUMMYFUNCTION("""COMPUTED_VALUE"""),0.0)</f>
        <v>0</v>
      </c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0"/>
        <v>0</v>
      </c>
      <c r="I129" s="31">
        <f t="shared" si="31"/>
        <v>0</v>
      </c>
      <c r="J129" s="32" t="str">
        <f t="shared" si="32"/>
        <v/>
      </c>
      <c r="K129" s="32"/>
      <c r="L129" s="33">
        <f t="shared" si="33"/>
        <v>0</v>
      </c>
      <c r="M129" s="32"/>
      <c r="N129" s="32"/>
      <c r="O129" s="34">
        <f t="shared" si="34"/>
        <v>0</v>
      </c>
      <c r="P129" s="44"/>
      <c r="Q129" s="44"/>
      <c r="R129" s="37">
        <f t="shared" si="35"/>
        <v>0</v>
      </c>
      <c r="S129" s="38">
        <f t="shared" si="36"/>
        <v>0</v>
      </c>
      <c r="T129" s="51"/>
      <c r="U129" s="42"/>
    </row>
    <row r="130" ht="37.5" customHeight="1">
      <c r="B130" s="25">
        <v>22.0</v>
      </c>
      <c r="C130" s="49"/>
      <c r="D130" s="51"/>
      <c r="E130" s="51"/>
      <c r="F130" s="42"/>
      <c r="G130" s="53"/>
      <c r="H130" s="31">
        <f t="shared" si="30"/>
        <v>0</v>
      </c>
      <c r="I130" s="31">
        <f t="shared" si="31"/>
        <v>0</v>
      </c>
      <c r="J130" s="32" t="str">
        <f t="shared" si="32"/>
        <v/>
      </c>
      <c r="K130" s="32"/>
      <c r="L130" s="33">
        <f t="shared" si="33"/>
        <v>0</v>
      </c>
      <c r="M130" s="32"/>
      <c r="N130" s="32"/>
      <c r="O130" s="34">
        <f t="shared" si="34"/>
        <v>0</v>
      </c>
      <c r="P130" s="44"/>
      <c r="Q130" s="44"/>
      <c r="R130" s="37">
        <f t="shared" si="35"/>
        <v>0</v>
      </c>
      <c r="S130" s="38">
        <f t="shared" si="36"/>
        <v>0</v>
      </c>
      <c r="T130" s="51"/>
      <c r="U130" s="42"/>
    </row>
    <row r="131" ht="37.5" customHeight="1">
      <c r="B131" s="54"/>
      <c r="F131" s="55" t="s">
        <v>21</v>
      </c>
      <c r="S131" s="56">
        <f>SUM(S109:S130)</f>
        <v>3200000</v>
      </c>
      <c r="T131" s="57"/>
      <c r="U131" s="58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>
      <c r="B133" s="67" t="s">
        <v>21</v>
      </c>
      <c r="F133" s="68">
        <f>S31+S56+S81+S106+S131</f>
        <v>16900000</v>
      </c>
      <c r="T133" s="69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IFERROR(__xludf.DUMMYFUNCTION("IMPORTRANGE(""https://docs.google.com/spreadsheets/d/17TnzcKnlaqlAyM_3lnNpgK5CAOPbscCCRVH50X8UulY/edit?usp=sharing"",""JUNI!B2"")"),46174.0)</f>
        <v>46174</v>
      </c>
      <c r="C2" s="2"/>
      <c r="D2" s="2"/>
      <c r="E2" s="3"/>
      <c r="F2" s="126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29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129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IFERROR(__xludf.DUMMYFUNCTION("IMPORTRANGE(""https://docs.google.com/spreadsheets/d/1Aud93BfAdhkWf584eKi6yqKFYhpUXTj-qoDfXlGtG84/edit?usp=sharing"",""JUNI!B6"")"),"TANGGAL : 1-6  JUNI 2026")</f>
        <v>TANGGAL : 1-6  JUNI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IFERROR(__xludf.DUMMYFUNCTION("IMPORTRANGE(""https://docs.google.com/spreadsheets/d/17TnzcKnlaqlAyM_3lnNpgK5CAOPbscCCRVH50X8UulY/edit?usp=sharing"",""JUNI!B7:D26"")"),"EPUL")</f>
        <v>EPUL</v>
      </c>
      <c r="D9" s="27" t="str">
        <f>IFERROR(__xludf.DUMMYFUNCTION("""COMPUTED_VALUE"""),"KEPALA")</f>
        <v>KEPALA</v>
      </c>
      <c r="E9" s="28"/>
      <c r="F9" s="52">
        <f>IFERROR(__xludf.DUMMYFUNCTION("IMPORTRANGE(""https://docs.google.com/spreadsheets/d/17TnzcKnlaqlAyM_3lnNpgK5CAOPbscCCRVH50X8UulY/edit?usp=sharing"",""JUNI!K7:K25"")"),6.0)</f>
        <v>6</v>
      </c>
      <c r="G9" s="133">
        <v>110000.0</v>
      </c>
      <c r="H9" s="31">
        <f t="shared" ref="H9:H30" si="1">F9*G9</f>
        <v>660000</v>
      </c>
      <c r="I9" s="31">
        <f t="shared" ref="I9:I30" si="2">F9*10000</f>
        <v>60000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720000</v>
      </c>
      <c r="P9" s="44"/>
      <c r="Q9" s="44"/>
      <c r="R9" s="37">
        <f t="shared" ref="R9:R30" si="6">SUM(P9:Q9)</f>
        <v>0</v>
      </c>
      <c r="S9" s="38">
        <f t="shared" ref="S9:S30" si="7">O9-R9</f>
        <v>720000</v>
      </c>
      <c r="T9" s="39" t="str">
        <f>IFERROR(__xludf.DUMMYFUNCTION("IMPORTRANGE(""https://docs.google.com/spreadsheets/d/17TnzcKnlaqlAyM_3lnNpgK5CAOPbscCCRVH50X8UulY/edit?usp=sharing"",""JUNI!L7:L26"")"),"")</f>
        <v/>
      </c>
      <c r="U9" s="42">
        <f>IFERROR(__xludf.DUMMYFUNCTION("IMPORTRANGE(""https://docs.google.com/spreadsheets/d/17TnzcKnlaqlAyM_3lnNpgK5CAOPbscCCRVH50X8UulY/edit?usp=sharing"",""JUNI!U7:U26"")"),0.0)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/>
      <c r="F10" s="52">
        <f>IFERROR(__xludf.DUMMYFUNCTION("""COMPUTED_VALUE"""),6.0)</f>
        <v>6</v>
      </c>
      <c r="G10" s="133">
        <v>70000.0</v>
      </c>
      <c r="H10" s="31">
        <f t="shared" si="1"/>
        <v>420000</v>
      </c>
      <c r="I10" s="31">
        <f t="shared" si="2"/>
        <v>60000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480000</v>
      </c>
      <c r="P10" s="44"/>
      <c r="Q10" s="44"/>
      <c r="R10" s="37">
        <f t="shared" si="6"/>
        <v>0</v>
      </c>
      <c r="S10" s="38">
        <f t="shared" si="7"/>
        <v>480000</v>
      </c>
      <c r="T10" s="3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 t="str">
        <f>IFERROR(__xludf.DUMMYFUNCTION("""COMPUTED_VALUE"""),"KHRYSSAN")</f>
        <v>KHRYSSAN</v>
      </c>
      <c r="D11" s="27" t="str">
        <f>IFERROR(__xludf.DUMMYFUNCTION("""COMPUTED_VALUE"""),"ADMIN")</f>
        <v>ADMIN</v>
      </c>
      <c r="E11" s="28"/>
      <c r="F11" s="52">
        <f>IFERROR(__xludf.DUMMYFUNCTION("""COMPUTED_VALUE"""),6.0)</f>
        <v>6</v>
      </c>
      <c r="G11" s="133">
        <v>70000.0</v>
      </c>
      <c r="H11" s="31">
        <f t="shared" si="1"/>
        <v>420000</v>
      </c>
      <c r="I11" s="31">
        <f t="shared" si="2"/>
        <v>60000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480000</v>
      </c>
      <c r="P11" s="44"/>
      <c r="Q11" s="44"/>
      <c r="R11" s="37">
        <f t="shared" si="6"/>
        <v>0</v>
      </c>
      <c r="S11" s="38">
        <f t="shared" si="7"/>
        <v>480000</v>
      </c>
      <c r="T11" s="3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IFERROR(__xludf.DUMMYFUNCTION("""COMPUTED_VALUE"""),"ANDRI")</f>
        <v>ANDRI</v>
      </c>
      <c r="D12" s="27" t="str">
        <f>IFERROR(__xludf.DUMMYFUNCTION("""COMPUTED_VALUE"""),"DESIGN BORDIR")</f>
        <v>DESIGN BORDIR</v>
      </c>
      <c r="E12" s="28"/>
      <c r="F12" s="52">
        <f>IFERROR(__xludf.DUMMYFUNCTION("""COMPUTED_VALUE"""),6.0)</f>
        <v>6</v>
      </c>
      <c r="G12" s="133">
        <v>70000.0</v>
      </c>
      <c r="H12" s="31">
        <f t="shared" si="1"/>
        <v>420000</v>
      </c>
      <c r="I12" s="31">
        <f t="shared" si="2"/>
        <v>60000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480000</v>
      </c>
      <c r="P12" s="35"/>
      <c r="Q12" s="36"/>
      <c r="R12" s="37">
        <f t="shared" si="6"/>
        <v>0</v>
      </c>
      <c r="S12" s="38">
        <f t="shared" si="7"/>
        <v>480000</v>
      </c>
      <c r="T12" s="39"/>
      <c r="U12" s="42">
        <f>IFERROR(__xludf.DUMMYFUNCTION("""COMPUTED_VALUE"""),0.0)</f>
        <v>0</v>
      </c>
      <c r="V12" s="134"/>
      <c r="W12" s="24"/>
    </row>
    <row r="13" ht="37.5" customHeight="1">
      <c r="A13" s="24"/>
      <c r="B13" s="25">
        <v>5.0</v>
      </c>
      <c r="C13" s="26" t="str">
        <f>IFERROR(__xludf.DUMMYFUNCTION("""COMPUTED_VALUE"""),"ADIT")</f>
        <v>ADIT</v>
      </c>
      <c r="D13" s="27" t="str">
        <f>IFERROR(__xludf.DUMMYFUNCTION("""COMPUTED_VALUE"""),"CREATOR")</f>
        <v>CREATOR</v>
      </c>
      <c r="E13" s="28"/>
      <c r="F13" s="52">
        <f>IFERROR(__xludf.DUMMYFUNCTION("""COMPUTED_VALUE"""),1.0)</f>
        <v>1</v>
      </c>
      <c r="G13" s="133">
        <v>50000.0</v>
      </c>
      <c r="H13" s="31">
        <f t="shared" si="1"/>
        <v>50000</v>
      </c>
      <c r="I13" s="31">
        <f t="shared" si="2"/>
        <v>10000</v>
      </c>
      <c r="J13" s="32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60000</v>
      </c>
      <c r="P13" s="36"/>
      <c r="Q13" s="36"/>
      <c r="R13" s="37">
        <f t="shared" si="6"/>
        <v>0</v>
      </c>
      <c r="S13" s="38">
        <f t="shared" si="7"/>
        <v>60000</v>
      </c>
      <c r="T13" s="39"/>
      <c r="U13" s="42">
        <f>IFERROR(__xludf.DUMMYFUNCTION("""COMPUTED_VALUE"""),0.0)</f>
        <v>0</v>
      </c>
      <c r="V13" s="134"/>
      <c r="W13" s="24"/>
    </row>
    <row r="14" ht="37.5" customHeight="1">
      <c r="A14" s="24"/>
      <c r="B14" s="25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/>
      <c r="F14" s="52">
        <f>IFERROR(__xludf.DUMMYFUNCTION("""COMPUTED_VALUE"""),6.0)</f>
        <v>6</v>
      </c>
      <c r="G14" s="133">
        <v>70000.0</v>
      </c>
      <c r="H14" s="31">
        <f t="shared" si="1"/>
        <v>420000</v>
      </c>
      <c r="I14" s="31">
        <f t="shared" si="2"/>
        <v>60000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480000</v>
      </c>
      <c r="P14" s="35"/>
      <c r="Q14" s="36"/>
      <c r="R14" s="37">
        <f t="shared" si="6"/>
        <v>0</v>
      </c>
      <c r="S14" s="38">
        <f t="shared" si="7"/>
        <v>480000</v>
      </c>
      <c r="T14" s="39"/>
      <c r="U14" s="42">
        <f>IFERROR(__xludf.DUMMYFUNCTION("""COMPUTED_VALUE"""),0.0)</f>
        <v>0</v>
      </c>
      <c r="V14" s="135"/>
      <c r="W14" s="24"/>
    </row>
    <row r="15" ht="37.5" customHeight="1">
      <c r="A15" s="24"/>
      <c r="B15" s="25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/>
      <c r="F15" s="52">
        <f>IFERROR(__xludf.DUMMYFUNCTION("""COMPUTED_VALUE"""),4.0)</f>
        <v>4</v>
      </c>
      <c r="G15" s="133">
        <v>70000.0</v>
      </c>
      <c r="H15" s="31">
        <f t="shared" si="1"/>
        <v>280000</v>
      </c>
      <c r="I15" s="31">
        <f t="shared" si="2"/>
        <v>40000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320000</v>
      </c>
      <c r="P15" s="36"/>
      <c r="Q15" s="36"/>
      <c r="R15" s="37">
        <f t="shared" si="6"/>
        <v>0</v>
      </c>
      <c r="S15" s="38">
        <f t="shared" si="7"/>
        <v>320000</v>
      </c>
      <c r="T15" s="39"/>
      <c r="U15" s="42">
        <f>IFERROR(__xludf.DUMMYFUNCTION("""COMPUTED_VALUE"""),0.0)</f>
        <v>0</v>
      </c>
      <c r="V15" s="135"/>
      <c r="W15" s="24"/>
    </row>
    <row r="16" ht="37.5" customHeight="1">
      <c r="A16" s="24"/>
      <c r="B16" s="25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/>
      <c r="F16" s="52">
        <f>IFERROR(__xludf.DUMMYFUNCTION("""COMPUTED_VALUE"""),6.0)</f>
        <v>6</v>
      </c>
      <c r="G16" s="133">
        <v>50000.0</v>
      </c>
      <c r="H16" s="31">
        <f t="shared" si="1"/>
        <v>300000</v>
      </c>
      <c r="I16" s="31">
        <f t="shared" si="2"/>
        <v>60000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360000</v>
      </c>
      <c r="P16" s="36"/>
      <c r="Q16" s="36"/>
      <c r="R16" s="37">
        <f t="shared" si="6"/>
        <v>0</v>
      </c>
      <c r="S16" s="38">
        <f t="shared" si="7"/>
        <v>360000</v>
      </c>
      <c r="T16" s="39"/>
      <c r="U16" s="42">
        <f>IFERROR(__xludf.DUMMYFUNCTION("""COMPUTED_VALUE"""),0.0)</f>
        <v>0</v>
      </c>
      <c r="V16" s="134"/>
      <c r="W16" s="24"/>
    </row>
    <row r="17" ht="37.5" customHeight="1">
      <c r="A17" s="24"/>
      <c r="B17" s="25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28"/>
      <c r="F17" s="52">
        <f>IFERROR(__xludf.DUMMYFUNCTION("""COMPUTED_VALUE"""),5.0)</f>
        <v>5</v>
      </c>
      <c r="G17" s="133">
        <v>50000.0</v>
      </c>
      <c r="H17" s="31">
        <f t="shared" si="1"/>
        <v>250000</v>
      </c>
      <c r="I17" s="31">
        <f t="shared" si="2"/>
        <v>50000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300000</v>
      </c>
      <c r="P17" s="36"/>
      <c r="Q17" s="36"/>
      <c r="R17" s="37">
        <f t="shared" si="6"/>
        <v>0</v>
      </c>
      <c r="S17" s="38">
        <f t="shared" si="7"/>
        <v>300000</v>
      </c>
      <c r="T17" s="39"/>
      <c r="U17" s="42">
        <f>IFERROR(__xludf.DUMMYFUNCTION("""COMPUTED_VALUE"""),0.0)</f>
        <v>0</v>
      </c>
      <c r="V17" s="134"/>
      <c r="W17" s="24"/>
    </row>
    <row r="18" ht="37.5" customHeight="1">
      <c r="A18" s="24"/>
      <c r="B18" s="25">
        <v>10.0</v>
      </c>
      <c r="C18" s="26" t="str">
        <f>IFERROR(__xludf.DUMMYFUNCTION("""COMPUTED_VALUE"""),"IIS")</f>
        <v>IIS</v>
      </c>
      <c r="D18" s="27" t="str">
        <f>IFERROR(__xludf.DUMMYFUNCTION("""COMPUTED_VALUE"""),"PACKING")</f>
        <v>PACKING</v>
      </c>
      <c r="E18" s="51"/>
      <c r="F18" s="52">
        <f>IFERROR(__xludf.DUMMYFUNCTION("""COMPUTED_VALUE"""),6.0)</f>
        <v>6</v>
      </c>
      <c r="G18" s="133">
        <v>70000.0</v>
      </c>
      <c r="H18" s="31">
        <f t="shared" si="1"/>
        <v>420000</v>
      </c>
      <c r="I18" s="31">
        <f t="shared" si="2"/>
        <v>60000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480000</v>
      </c>
      <c r="P18" s="36"/>
      <c r="Q18" s="36"/>
      <c r="R18" s="37">
        <f t="shared" si="6"/>
        <v>0</v>
      </c>
      <c r="S18" s="38">
        <f t="shared" si="7"/>
        <v>480000</v>
      </c>
      <c r="T18" s="39"/>
      <c r="U18" s="42">
        <f>IFERROR(__xludf.DUMMYFUNCTION("""COMPUTED_VALUE"""),0.0)</f>
        <v>0</v>
      </c>
      <c r="V18" s="13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44"/>
      <c r="Q19" s="44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134"/>
      <c r="W19" s="24"/>
    </row>
    <row r="20" ht="37.5" customHeight="1">
      <c r="A20" s="24"/>
      <c r="B20" s="25">
        <v>12.0</v>
      </c>
      <c r="C20" s="49"/>
      <c r="D20" s="50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44"/>
      <c r="Q20" s="44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13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 t="str">
        <f t="shared" ref="J21:J22" si="8">IF(E21="SHIFT 2",I21,"")</f>
        <v/>
      </c>
      <c r="K21" s="32"/>
      <c r="L21" s="33">
        <f t="shared" si="4"/>
        <v>0</v>
      </c>
      <c r="M21" s="32"/>
      <c r="N21" s="32"/>
      <c r="O21" s="34">
        <f t="shared" si="5"/>
        <v>0</v>
      </c>
      <c r="P21" s="44"/>
      <c r="Q21" s="44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13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 t="shared" si="8"/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44"/>
      <c r="Q22" s="44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13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13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136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9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136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9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136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9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9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9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9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B31" s="54"/>
      <c r="F31" s="55" t="s">
        <v>21</v>
      </c>
      <c r="S31" s="56">
        <f>SUM(S9:S30)</f>
        <v>4160000</v>
      </c>
      <c r="T31" s="57"/>
      <c r="U31" s="58"/>
    </row>
    <row r="32" ht="37.5" customHeight="1"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ht="37.5" customHeight="1">
      <c r="A33" s="24"/>
      <c r="B33" s="21" t="str">
        <f>IFERROR(__xludf.DUMMYFUNCTION("IMPORTRANGE(""https://docs.google.com/spreadsheets/d/17TnzcKnlaqlAyM_3lnNpgK5CAOPbscCCRVH50X8UulY/edit?usp=sharing"",""JUNI!B28"")"),"TANGGAL : 8-13 JUNI 2026")</f>
        <v>TANGGAL : 8-13 JUNI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IFERROR(__xludf.DUMMYFUNCTION("IMPORTRANGE(""https://docs.google.com/spreadsheets/d/17TnzcKnlaqlAyM_3lnNpgK5CAOPbscCCRVH50X8UulY/edit?usp=sharing"",""JUNI!B29:D48"")"),"EPUL")</f>
        <v>EPUL</v>
      </c>
      <c r="D34" s="27" t="str">
        <f>IFERROR(__xludf.DUMMYFUNCTION("""COMPUTED_VALUE"""),"KEPALA")</f>
        <v>KEPALA</v>
      </c>
      <c r="E34" s="28"/>
      <c r="F34" s="52">
        <f>IFERROR(__xludf.DUMMYFUNCTION("IMPORTRANGE(""https://docs.google.com/spreadsheets/d/17TnzcKnlaqlAyM_3lnNpgK5CAOPbscCCRVH50X8UulY/edit?usp=sharing"",""JUNI!K29:K47"")"),6.0)</f>
        <v>6</v>
      </c>
      <c r="G34" s="128">
        <v>110000.0</v>
      </c>
      <c r="H34" s="31">
        <f t="shared" ref="H34:H55" si="10">F34*G34</f>
        <v>660000</v>
      </c>
      <c r="I34" s="31">
        <f t="shared" ref="I34:I55" si="11">F34*10000</f>
        <v>60000</v>
      </c>
      <c r="J34" s="32" t="str">
        <f t="shared" ref="J34:J55" si="12">IF(E34="SHIFT 2",I34,"")</f>
        <v/>
      </c>
      <c r="K34" s="32"/>
      <c r="L34" s="33">
        <f t="shared" ref="L34:L55" si="13">U34*$L$33</f>
        <v>0</v>
      </c>
      <c r="M34" s="32"/>
      <c r="N34" s="32"/>
      <c r="O34" s="34">
        <f t="shared" ref="O34:O55" si="14">SUM(H34:N34)</f>
        <v>720000</v>
      </c>
      <c r="P34" s="137">
        <v>60000.0</v>
      </c>
      <c r="Q34" s="137"/>
      <c r="R34" s="37">
        <f t="shared" ref="R34:R55" si="15">SUM(P34:Q34)</f>
        <v>60000</v>
      </c>
      <c r="S34" s="38">
        <f t="shared" ref="S34:S55" si="16">O34-R34</f>
        <v>660000</v>
      </c>
      <c r="T34" s="52" t="str">
        <f>IFERROR(__xludf.DUMMYFUNCTION("IMPORTRANGE(""https://docs.google.com/spreadsheets/d/17TnzcKnlaqlAyM_3lnNpgK5CAOPbscCCRVH50X8UulY/edit?usp=sharing"",""JUNI!L29:L48"")"),"Senin Setengah Hari")</f>
        <v>Senin Setengah Hari</v>
      </c>
      <c r="U34" s="42">
        <f>IFERROR(__xludf.DUMMYFUNCTION("IMPORTRANGE(""https://docs.google.com/spreadsheets/d/17TnzcKnlaqlAyM_3lnNpgK5CAOPbscCCRVH50X8UulY/edit?usp=sharing"",""JUNI!U29:U48"")"),0.0)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/>
      <c r="F35" s="52">
        <f>IFERROR(__xludf.DUMMYFUNCTION("""COMPUTED_VALUE"""),6.0)</f>
        <v>6</v>
      </c>
      <c r="G35" s="128">
        <v>70000.0</v>
      </c>
      <c r="H35" s="31">
        <f t="shared" si="10"/>
        <v>420000</v>
      </c>
      <c r="I35" s="31">
        <f t="shared" si="11"/>
        <v>60000</v>
      </c>
      <c r="J35" s="32" t="str">
        <f t="shared" si="12"/>
        <v/>
      </c>
      <c r="K35" s="41"/>
      <c r="L35" s="33">
        <f t="shared" si="13"/>
        <v>0</v>
      </c>
      <c r="M35" s="41"/>
      <c r="N35" s="41"/>
      <c r="O35" s="34">
        <f t="shared" si="14"/>
        <v>480000</v>
      </c>
      <c r="P35" s="137">
        <v>40000.0</v>
      </c>
      <c r="Q35" s="137"/>
      <c r="R35" s="37">
        <f t="shared" si="15"/>
        <v>40000</v>
      </c>
      <c r="S35" s="38">
        <f t="shared" si="16"/>
        <v>440000</v>
      </c>
      <c r="T35" s="52" t="str">
        <f>IFERROR(__xludf.DUMMYFUNCTION("""COMPUTED_VALUE"""),"Senin Setengah Hari")</f>
        <v>Senin Setengah Hari</v>
      </c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 t="str">
        <f>IFERROR(__xludf.DUMMYFUNCTION("""COMPUTED_VALUE"""),"KHRYSSAN")</f>
        <v>KHRYSSAN</v>
      </c>
      <c r="D36" s="27" t="str">
        <f>IFERROR(__xludf.DUMMYFUNCTION("""COMPUTED_VALUE"""),"ADMIN")</f>
        <v>ADMIN</v>
      </c>
      <c r="E36" s="28"/>
      <c r="F36" s="52">
        <f>IFERROR(__xludf.DUMMYFUNCTION("""COMPUTED_VALUE"""),6.0)</f>
        <v>6</v>
      </c>
      <c r="G36" s="128">
        <v>70000.0</v>
      </c>
      <c r="H36" s="31">
        <f t="shared" si="10"/>
        <v>420000</v>
      </c>
      <c r="I36" s="31">
        <f t="shared" si="11"/>
        <v>60000</v>
      </c>
      <c r="J36" s="32" t="str">
        <f t="shared" si="12"/>
        <v/>
      </c>
      <c r="K36" s="41"/>
      <c r="L36" s="33">
        <f t="shared" si="13"/>
        <v>0</v>
      </c>
      <c r="M36" s="41"/>
      <c r="N36" s="41"/>
      <c r="O36" s="34">
        <f t="shared" si="14"/>
        <v>480000</v>
      </c>
      <c r="P36" s="137">
        <v>40000.0</v>
      </c>
      <c r="Q36" s="137"/>
      <c r="R36" s="37">
        <f t="shared" si="15"/>
        <v>40000</v>
      </c>
      <c r="S36" s="38">
        <f t="shared" si="16"/>
        <v>440000</v>
      </c>
      <c r="T36" s="52" t="str">
        <f>IFERROR(__xludf.DUMMYFUNCTION("""COMPUTED_VALUE"""),"Senin Setengah Hari")</f>
        <v>Senin Setengah Hari</v>
      </c>
      <c r="U36" s="42">
        <f>IFERROR(__xludf.DUMMYFUNCTION("""COMPUTED_VALUE"""),0.0)</f>
        <v>0</v>
      </c>
      <c r="V36" s="24"/>
      <c r="W36" s="24"/>
    </row>
    <row r="37" ht="37.5" customHeight="1">
      <c r="A37" s="24"/>
      <c r="B37" s="25">
        <v>4.0</v>
      </c>
      <c r="C37" s="26" t="str">
        <f>IFERROR(__xludf.DUMMYFUNCTION("""COMPUTED_VALUE"""),"ANDRI")</f>
        <v>ANDRI</v>
      </c>
      <c r="D37" s="27" t="str">
        <f>IFERROR(__xludf.DUMMYFUNCTION("""COMPUTED_VALUE"""),"DESIGN BORDIR")</f>
        <v>DESIGN BORDIR</v>
      </c>
      <c r="E37" s="28"/>
      <c r="F37" s="52">
        <f>IFERROR(__xludf.DUMMYFUNCTION("""COMPUTED_VALUE"""),2.0)</f>
        <v>2</v>
      </c>
      <c r="G37" s="128">
        <v>70000.0</v>
      </c>
      <c r="H37" s="31">
        <f t="shared" si="10"/>
        <v>140000</v>
      </c>
      <c r="I37" s="31">
        <f t="shared" si="11"/>
        <v>20000</v>
      </c>
      <c r="J37" s="32" t="str">
        <f t="shared" si="12"/>
        <v/>
      </c>
      <c r="K37" s="32"/>
      <c r="L37" s="33">
        <f t="shared" si="13"/>
        <v>0</v>
      </c>
      <c r="M37" s="32"/>
      <c r="N37" s="32"/>
      <c r="O37" s="34">
        <f t="shared" si="14"/>
        <v>160000</v>
      </c>
      <c r="P37" s="137">
        <v>40000.0</v>
      </c>
      <c r="Q37" s="137"/>
      <c r="R37" s="37">
        <f t="shared" si="15"/>
        <v>40000</v>
      </c>
      <c r="S37" s="38">
        <f t="shared" si="16"/>
        <v>120000</v>
      </c>
      <c r="T37" s="52" t="str">
        <f>IFERROR(__xludf.DUMMYFUNCTION("""COMPUTED_VALUE"""),"Senin Setengah Hari")</f>
        <v>Senin Setengah Hari</v>
      </c>
      <c r="U37" s="42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6" t="str">
        <f>IFERROR(__xludf.DUMMYFUNCTION("""COMPUTED_VALUE"""),"ADIT")</f>
        <v>ADIT</v>
      </c>
      <c r="D38" s="27" t="str">
        <f>IFERROR(__xludf.DUMMYFUNCTION("""COMPUTED_VALUE"""),"CREATOR")</f>
        <v>CREATOR</v>
      </c>
      <c r="E38" s="28"/>
      <c r="F38" s="52">
        <f>IFERROR(__xludf.DUMMYFUNCTION("""COMPUTED_VALUE"""),0.0)</f>
        <v>0</v>
      </c>
      <c r="G38" s="128">
        <v>50000.0</v>
      </c>
      <c r="H38" s="31">
        <f t="shared" si="10"/>
        <v>0</v>
      </c>
      <c r="I38" s="31">
        <f t="shared" si="11"/>
        <v>0</v>
      </c>
      <c r="J38" s="32" t="str">
        <f t="shared" si="12"/>
        <v/>
      </c>
      <c r="K38" s="32"/>
      <c r="L38" s="33">
        <f t="shared" si="13"/>
        <v>0</v>
      </c>
      <c r="M38" s="32"/>
      <c r="N38" s="32"/>
      <c r="O38" s="34">
        <f t="shared" si="14"/>
        <v>0</v>
      </c>
      <c r="P38" s="137"/>
      <c r="Q38" s="137"/>
      <c r="R38" s="37">
        <f t="shared" si="15"/>
        <v>0</v>
      </c>
      <c r="S38" s="38">
        <f t="shared" si="16"/>
        <v>0</v>
      </c>
      <c r="T38" s="52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/>
      <c r="F39" s="52">
        <f>IFERROR(__xludf.DUMMYFUNCTION("""COMPUTED_VALUE"""),6.0)</f>
        <v>6</v>
      </c>
      <c r="G39" s="128">
        <v>70000.0</v>
      </c>
      <c r="H39" s="31">
        <f t="shared" si="10"/>
        <v>420000</v>
      </c>
      <c r="I39" s="31">
        <f t="shared" si="11"/>
        <v>60000</v>
      </c>
      <c r="J39" s="32" t="str">
        <f t="shared" si="12"/>
        <v/>
      </c>
      <c r="K39" s="32"/>
      <c r="L39" s="33">
        <f t="shared" si="13"/>
        <v>165000</v>
      </c>
      <c r="M39" s="32"/>
      <c r="N39" s="32"/>
      <c r="O39" s="34">
        <f t="shared" si="14"/>
        <v>645000</v>
      </c>
      <c r="P39" s="137">
        <v>40000.0</v>
      </c>
      <c r="Q39" s="137"/>
      <c r="R39" s="37">
        <f t="shared" si="15"/>
        <v>40000</v>
      </c>
      <c r="S39" s="38">
        <f t="shared" si="16"/>
        <v>605000</v>
      </c>
      <c r="T39" s="52"/>
      <c r="U39" s="42">
        <f>IFERROR(__xludf.DUMMYFUNCTION("""COMPUTED_VALUE"""),11.0)</f>
        <v>11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/>
      <c r="F40" s="52">
        <f>IFERROR(__xludf.DUMMYFUNCTION("""COMPUTED_VALUE"""),0.0)</f>
        <v>0</v>
      </c>
      <c r="G40" s="128">
        <v>70000.0</v>
      </c>
      <c r="H40" s="31">
        <f t="shared" si="10"/>
        <v>0</v>
      </c>
      <c r="I40" s="31">
        <f t="shared" si="11"/>
        <v>0</v>
      </c>
      <c r="J40" s="32" t="str">
        <f t="shared" si="12"/>
        <v/>
      </c>
      <c r="K40" s="32"/>
      <c r="L40" s="33">
        <f t="shared" si="13"/>
        <v>0</v>
      </c>
      <c r="M40" s="32"/>
      <c r="N40" s="32"/>
      <c r="O40" s="34">
        <f t="shared" si="14"/>
        <v>0</v>
      </c>
      <c r="P40" s="137"/>
      <c r="Q40" s="137"/>
      <c r="R40" s="37">
        <f t="shared" si="15"/>
        <v>0</v>
      </c>
      <c r="S40" s="38">
        <f t="shared" si="16"/>
        <v>0</v>
      </c>
      <c r="T40" s="52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/>
      <c r="F41" s="52">
        <f>IFERROR(__xludf.DUMMYFUNCTION("""COMPUTED_VALUE"""),6.0)</f>
        <v>6</v>
      </c>
      <c r="G41" s="128">
        <v>50000.0</v>
      </c>
      <c r="H41" s="31">
        <f t="shared" si="10"/>
        <v>300000</v>
      </c>
      <c r="I41" s="31">
        <f t="shared" si="11"/>
        <v>60000</v>
      </c>
      <c r="J41" s="32" t="str">
        <f t="shared" si="12"/>
        <v/>
      </c>
      <c r="K41" s="32"/>
      <c r="L41" s="33">
        <f t="shared" si="13"/>
        <v>0</v>
      </c>
      <c r="M41" s="32"/>
      <c r="N41" s="32"/>
      <c r="O41" s="34">
        <f t="shared" si="14"/>
        <v>360000</v>
      </c>
      <c r="P41" s="137"/>
      <c r="Q41" s="137"/>
      <c r="R41" s="37">
        <f t="shared" si="15"/>
        <v>0</v>
      </c>
      <c r="S41" s="38">
        <f t="shared" si="16"/>
        <v>360000</v>
      </c>
      <c r="T41" s="52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/>
      <c r="F42" s="52">
        <f>IFERROR(__xludf.DUMMYFUNCTION("""COMPUTED_VALUE"""),6.0)</f>
        <v>6</v>
      </c>
      <c r="G42" s="128">
        <v>50000.0</v>
      </c>
      <c r="H42" s="31">
        <f t="shared" si="10"/>
        <v>300000</v>
      </c>
      <c r="I42" s="31">
        <f t="shared" si="11"/>
        <v>60000</v>
      </c>
      <c r="J42" s="32" t="str">
        <f t="shared" si="12"/>
        <v/>
      </c>
      <c r="K42" s="32"/>
      <c r="L42" s="33">
        <f t="shared" si="13"/>
        <v>15000</v>
      </c>
      <c r="M42" s="32"/>
      <c r="N42" s="32"/>
      <c r="O42" s="34">
        <f t="shared" si="14"/>
        <v>375000</v>
      </c>
      <c r="P42" s="137">
        <v>30000.0</v>
      </c>
      <c r="Q42" s="137"/>
      <c r="R42" s="37">
        <f t="shared" si="15"/>
        <v>30000</v>
      </c>
      <c r="S42" s="38">
        <f t="shared" si="16"/>
        <v>345000</v>
      </c>
      <c r="T42" s="52" t="str">
        <f>IFERROR(__xludf.DUMMYFUNCTION("""COMPUTED_VALUE"""),"Senin Setengah Hari")</f>
        <v>Senin Setengah Hari</v>
      </c>
      <c r="U42" s="42">
        <f>IFERROR(__xludf.DUMMYFUNCTION("""COMPUTED_VALUE"""),1.0)</f>
        <v>1</v>
      </c>
      <c r="V42" s="24"/>
      <c r="W42" s="24"/>
    </row>
    <row r="43" ht="37.5" customHeight="1">
      <c r="A43" s="24"/>
      <c r="B43" s="25">
        <v>10.0</v>
      </c>
      <c r="C43" s="26" t="str">
        <f>IFERROR(__xludf.DUMMYFUNCTION("""COMPUTED_VALUE"""),"IIS")</f>
        <v>IIS</v>
      </c>
      <c r="D43" s="27" t="str">
        <f>IFERROR(__xludf.DUMMYFUNCTION("""COMPUTED_VALUE"""),"PACKING")</f>
        <v>PACKING</v>
      </c>
      <c r="E43" s="51"/>
      <c r="F43" s="52">
        <f>IFERROR(__xludf.DUMMYFUNCTION("""COMPUTED_VALUE"""),6.0)</f>
        <v>6</v>
      </c>
      <c r="G43" s="128">
        <v>70000.0</v>
      </c>
      <c r="H43" s="31">
        <f t="shared" si="10"/>
        <v>420000</v>
      </c>
      <c r="I43" s="31">
        <f t="shared" si="11"/>
        <v>60000</v>
      </c>
      <c r="J43" s="32" t="str">
        <f t="shared" si="12"/>
        <v/>
      </c>
      <c r="K43" s="32"/>
      <c r="L43" s="33">
        <f t="shared" si="13"/>
        <v>0</v>
      </c>
      <c r="M43" s="32"/>
      <c r="N43" s="32"/>
      <c r="O43" s="34">
        <f t="shared" si="14"/>
        <v>480000</v>
      </c>
      <c r="P43" s="137">
        <v>40000.0</v>
      </c>
      <c r="Q43" s="137"/>
      <c r="R43" s="37">
        <f t="shared" si="15"/>
        <v>40000</v>
      </c>
      <c r="S43" s="38">
        <f t="shared" si="16"/>
        <v>440000</v>
      </c>
      <c r="T43" s="52" t="str">
        <f>IFERROR(__xludf.DUMMYFUNCTION("""COMPUTED_VALUE"""),"Senin Setengah Hari")</f>
        <v>Senin Setengah Hari</v>
      </c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10"/>
        <v>0</v>
      </c>
      <c r="I44" s="31">
        <f t="shared" si="11"/>
        <v>0</v>
      </c>
      <c r="J44" s="32" t="str">
        <f t="shared" si="12"/>
        <v/>
      </c>
      <c r="K44" s="32"/>
      <c r="L44" s="33">
        <f t="shared" si="13"/>
        <v>0</v>
      </c>
      <c r="M44" s="32"/>
      <c r="N44" s="32"/>
      <c r="O44" s="34">
        <f t="shared" si="14"/>
        <v>0</v>
      </c>
      <c r="P44" s="137"/>
      <c r="Q44" s="137"/>
      <c r="R44" s="37">
        <f t="shared" si="15"/>
        <v>0</v>
      </c>
      <c r="S44" s="38">
        <f t="shared" si="16"/>
        <v>0</v>
      </c>
      <c r="T44" s="52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49"/>
      <c r="D45" s="50"/>
      <c r="E45" s="51"/>
      <c r="F45" s="52">
        <f>IFERROR(__xludf.DUMMYFUNCTION("""COMPUTED_VALUE"""),0.0)</f>
        <v>0</v>
      </c>
      <c r="G45" s="45"/>
      <c r="H45" s="31">
        <f t="shared" si="10"/>
        <v>0</v>
      </c>
      <c r="I45" s="31">
        <f t="shared" si="11"/>
        <v>0</v>
      </c>
      <c r="J45" s="32" t="str">
        <f t="shared" si="12"/>
        <v/>
      </c>
      <c r="K45" s="32"/>
      <c r="L45" s="33">
        <f t="shared" si="13"/>
        <v>0</v>
      </c>
      <c r="M45" s="32"/>
      <c r="N45" s="32"/>
      <c r="O45" s="34">
        <f t="shared" si="14"/>
        <v>0</v>
      </c>
      <c r="P45" s="137"/>
      <c r="Q45" s="137"/>
      <c r="R45" s="37">
        <f t="shared" si="15"/>
        <v>0</v>
      </c>
      <c r="S45" s="38">
        <f t="shared" si="16"/>
        <v>0</v>
      </c>
      <c r="T45" s="52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10"/>
        <v>0</v>
      </c>
      <c r="I46" s="31">
        <f t="shared" si="11"/>
        <v>0</v>
      </c>
      <c r="J46" s="32" t="str">
        <f t="shared" si="12"/>
        <v/>
      </c>
      <c r="K46" s="32"/>
      <c r="L46" s="33">
        <f t="shared" si="13"/>
        <v>0</v>
      </c>
      <c r="M46" s="32"/>
      <c r="N46" s="32"/>
      <c r="O46" s="34">
        <f t="shared" si="14"/>
        <v>0</v>
      </c>
      <c r="P46" s="137"/>
      <c r="Q46" s="137"/>
      <c r="R46" s="37">
        <f t="shared" si="15"/>
        <v>0</v>
      </c>
      <c r="S46" s="38">
        <f t="shared" si="16"/>
        <v>0</v>
      </c>
      <c r="T46" s="52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10"/>
        <v>0</v>
      </c>
      <c r="I47" s="31">
        <f t="shared" si="11"/>
        <v>0</v>
      </c>
      <c r="J47" s="32" t="str">
        <f t="shared" si="12"/>
        <v/>
      </c>
      <c r="K47" s="32"/>
      <c r="L47" s="33">
        <f t="shared" si="13"/>
        <v>0</v>
      </c>
      <c r="M47" s="32"/>
      <c r="N47" s="32"/>
      <c r="O47" s="34">
        <f t="shared" si="14"/>
        <v>0</v>
      </c>
      <c r="P47" s="137"/>
      <c r="Q47" s="137"/>
      <c r="R47" s="37">
        <f t="shared" si="15"/>
        <v>0</v>
      </c>
      <c r="S47" s="38">
        <f t="shared" si="16"/>
        <v>0</v>
      </c>
      <c r="T47" s="52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10"/>
        <v>0</v>
      </c>
      <c r="I48" s="31">
        <f t="shared" si="11"/>
        <v>0</v>
      </c>
      <c r="J48" s="32" t="str">
        <f t="shared" si="12"/>
        <v/>
      </c>
      <c r="K48" s="32"/>
      <c r="L48" s="33">
        <f t="shared" si="13"/>
        <v>0</v>
      </c>
      <c r="M48" s="32"/>
      <c r="N48" s="32"/>
      <c r="O48" s="34">
        <f t="shared" si="14"/>
        <v>0</v>
      </c>
      <c r="P48" s="137"/>
      <c r="Q48" s="137"/>
      <c r="R48" s="37">
        <f t="shared" si="15"/>
        <v>0</v>
      </c>
      <c r="S48" s="38">
        <f t="shared" si="16"/>
        <v>0</v>
      </c>
      <c r="T48" s="52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10"/>
        <v>0</v>
      </c>
      <c r="I49" s="31">
        <f t="shared" si="11"/>
        <v>0</v>
      </c>
      <c r="J49" s="32" t="str">
        <f t="shared" si="12"/>
        <v/>
      </c>
      <c r="K49" s="32"/>
      <c r="L49" s="33">
        <f t="shared" si="13"/>
        <v>0</v>
      </c>
      <c r="M49" s="32"/>
      <c r="N49" s="32"/>
      <c r="O49" s="34">
        <f t="shared" si="14"/>
        <v>0</v>
      </c>
      <c r="P49" s="137"/>
      <c r="Q49" s="137"/>
      <c r="R49" s="37">
        <f t="shared" si="15"/>
        <v>0</v>
      </c>
      <c r="S49" s="38">
        <f t="shared" si="16"/>
        <v>0</v>
      </c>
      <c r="T49" s="52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10"/>
        <v>0</v>
      </c>
      <c r="I50" s="31">
        <f t="shared" si="11"/>
        <v>0</v>
      </c>
      <c r="J50" s="32" t="str">
        <f t="shared" si="12"/>
        <v/>
      </c>
      <c r="K50" s="32"/>
      <c r="L50" s="33">
        <f t="shared" si="13"/>
        <v>0</v>
      </c>
      <c r="M50" s="32"/>
      <c r="N50" s="32"/>
      <c r="O50" s="34">
        <f t="shared" si="14"/>
        <v>0</v>
      </c>
      <c r="P50" s="137"/>
      <c r="Q50" s="137"/>
      <c r="R50" s="37">
        <f t="shared" si="15"/>
        <v>0</v>
      </c>
      <c r="S50" s="38">
        <f t="shared" si="16"/>
        <v>0</v>
      </c>
      <c r="T50" s="52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10"/>
        <v>0</v>
      </c>
      <c r="I51" s="31">
        <f t="shared" si="11"/>
        <v>0</v>
      </c>
      <c r="J51" s="32" t="str">
        <f t="shared" si="12"/>
        <v/>
      </c>
      <c r="K51" s="32"/>
      <c r="L51" s="33">
        <f t="shared" si="13"/>
        <v>0</v>
      </c>
      <c r="M51" s="32"/>
      <c r="N51" s="32"/>
      <c r="O51" s="34">
        <f t="shared" si="14"/>
        <v>0</v>
      </c>
      <c r="P51" s="137"/>
      <c r="Q51" s="137"/>
      <c r="R51" s="37">
        <f t="shared" si="15"/>
        <v>0</v>
      </c>
      <c r="S51" s="38">
        <f t="shared" si="16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10"/>
        <v>0</v>
      </c>
      <c r="I52" s="31">
        <f t="shared" si="11"/>
        <v>0</v>
      </c>
      <c r="J52" s="32" t="str">
        <f t="shared" si="12"/>
        <v/>
      </c>
      <c r="K52" s="32"/>
      <c r="L52" s="33">
        <f t="shared" si="13"/>
        <v>0</v>
      </c>
      <c r="M52" s="32"/>
      <c r="N52" s="32"/>
      <c r="O52" s="34">
        <f t="shared" si="14"/>
        <v>0</v>
      </c>
      <c r="P52" s="137"/>
      <c r="Q52" s="137"/>
      <c r="R52" s="37">
        <f t="shared" si="15"/>
        <v>0</v>
      </c>
      <c r="S52" s="38">
        <f t="shared" si="16"/>
        <v>0</v>
      </c>
      <c r="T52" s="51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10"/>
        <v>0</v>
      </c>
      <c r="I53" s="31">
        <f t="shared" si="11"/>
        <v>0</v>
      </c>
      <c r="J53" s="32" t="str">
        <f t="shared" si="12"/>
        <v/>
      </c>
      <c r="K53" s="32"/>
      <c r="L53" s="33">
        <f t="shared" si="13"/>
        <v>0</v>
      </c>
      <c r="M53" s="32"/>
      <c r="N53" s="32"/>
      <c r="O53" s="34">
        <f t="shared" si="14"/>
        <v>0</v>
      </c>
      <c r="P53" s="137"/>
      <c r="Q53" s="137"/>
      <c r="R53" s="37">
        <f t="shared" si="15"/>
        <v>0</v>
      </c>
      <c r="S53" s="38">
        <f t="shared" si="16"/>
        <v>0</v>
      </c>
      <c r="T53" s="51"/>
      <c r="U53" s="42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49"/>
      <c r="D54" s="51"/>
      <c r="E54" s="51"/>
      <c r="F54" s="42"/>
      <c r="G54" s="53"/>
      <c r="H54" s="31">
        <f t="shared" si="10"/>
        <v>0</v>
      </c>
      <c r="I54" s="31">
        <f t="shared" si="11"/>
        <v>0</v>
      </c>
      <c r="J54" s="32" t="str">
        <f t="shared" si="12"/>
        <v/>
      </c>
      <c r="K54" s="32"/>
      <c r="L54" s="33">
        <f t="shared" si="13"/>
        <v>0</v>
      </c>
      <c r="M54" s="32"/>
      <c r="N54" s="32"/>
      <c r="O54" s="34">
        <f t="shared" si="14"/>
        <v>0</v>
      </c>
      <c r="P54" s="137"/>
      <c r="Q54" s="137"/>
      <c r="R54" s="37">
        <f t="shared" si="15"/>
        <v>0</v>
      </c>
      <c r="S54" s="38">
        <f t="shared" si="16"/>
        <v>0</v>
      </c>
      <c r="T54" s="51"/>
      <c r="U54" s="42"/>
    </row>
    <row r="55" ht="37.5" customHeight="1">
      <c r="B55" s="25">
        <v>22.0</v>
      </c>
      <c r="C55" s="49"/>
      <c r="D55" s="51"/>
      <c r="E55" s="51"/>
      <c r="F55" s="42"/>
      <c r="G55" s="53"/>
      <c r="H55" s="31">
        <f t="shared" si="10"/>
        <v>0</v>
      </c>
      <c r="I55" s="31">
        <f t="shared" si="11"/>
        <v>0</v>
      </c>
      <c r="J55" s="32" t="str">
        <f t="shared" si="12"/>
        <v/>
      </c>
      <c r="K55" s="32"/>
      <c r="L55" s="33">
        <f t="shared" si="13"/>
        <v>0</v>
      </c>
      <c r="M55" s="32"/>
      <c r="N55" s="32"/>
      <c r="O55" s="34">
        <f t="shared" si="14"/>
        <v>0</v>
      </c>
      <c r="P55" s="137"/>
      <c r="Q55" s="137"/>
      <c r="R55" s="37">
        <f t="shared" si="15"/>
        <v>0</v>
      </c>
      <c r="S55" s="38">
        <f t="shared" si="16"/>
        <v>0</v>
      </c>
      <c r="T55" s="51"/>
      <c r="U55" s="42"/>
    </row>
    <row r="56" ht="37.5" customHeight="1">
      <c r="B56" s="54"/>
      <c r="F56" s="55" t="s">
        <v>21</v>
      </c>
      <c r="S56" s="56">
        <f>SUM(S34:S55)</f>
        <v>3410000</v>
      </c>
      <c r="T56" s="57"/>
      <c r="U56" s="58"/>
    </row>
    <row r="57" ht="37.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t="37.5" customHeight="1">
      <c r="B58" s="21" t="str">
        <f>IFERROR(__xludf.DUMMYFUNCTION("IMPORTRANGE(""https://docs.google.com/spreadsheets/d/17TnzcKnlaqlAyM_3lnNpgK5CAOPbscCCRVH50X8UulY/edit?usp=sharing"",""JUNI!B50"")"),"TANGGAL : 15-20 JUNI 2026")</f>
        <v>TANGGAL : 15-20 JUNI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IFERROR(__xludf.DUMMYFUNCTION("IMPORTRANGE(""https://docs.google.com/spreadsheets/d/17TnzcKnlaqlAyM_3lnNpgK5CAOPbscCCRVH50X8UulY/edit?usp=sharing"",""JUNI!B51:D70"")"),"EPUL")</f>
        <v>EPUL</v>
      </c>
      <c r="D59" s="27" t="str">
        <f>IFERROR(__xludf.DUMMYFUNCTION("""COMPUTED_VALUE"""),"KEPALA")</f>
        <v>KEPALA</v>
      </c>
      <c r="E59" s="28"/>
      <c r="F59" s="52">
        <f>IFERROR(__xludf.DUMMYFUNCTION("IMPORTRANGE(""https://docs.google.com/spreadsheets/d/17TnzcKnlaqlAyM_3lnNpgK5CAOPbscCCRVH50X8UulY/edit?usp=sharing"",""JUNI!K51:K69"")"),6.0)</f>
        <v>6</v>
      </c>
      <c r="G59" s="133">
        <v>110000.0</v>
      </c>
      <c r="H59" s="31">
        <f t="shared" ref="H59:H80" si="17">F59*G59</f>
        <v>660000</v>
      </c>
      <c r="I59" s="31">
        <f t="shared" ref="I59:I80" si="18">F59*10000</f>
        <v>60000</v>
      </c>
      <c r="J59" s="32" t="str">
        <f t="shared" ref="J59:J80" si="19">IF(E59="SHIFT 2",I59,"")</f>
        <v/>
      </c>
      <c r="K59" s="32"/>
      <c r="L59" s="33">
        <f t="shared" ref="L59:L80" si="20">U59*$L$58</f>
        <v>0</v>
      </c>
      <c r="M59" s="32"/>
      <c r="N59" s="32"/>
      <c r="O59" s="34">
        <f t="shared" ref="O59:O80" si="21">SUM(H59:N59)</f>
        <v>720000</v>
      </c>
      <c r="P59" s="36"/>
      <c r="Q59" s="36"/>
      <c r="R59" s="37">
        <f t="shared" ref="R59:R80" si="22">SUM(P59:Q59)</f>
        <v>0</v>
      </c>
      <c r="S59" s="38">
        <f t="shared" ref="S59:S80" si="23">O59-R59</f>
        <v>720000</v>
      </c>
      <c r="T59" s="52" t="str">
        <f>IFERROR(__xludf.DUMMYFUNCTION("IMPORTRANGE(""https://docs.google.com/spreadsheets/d/17TnzcKnlaqlAyM_3lnNpgK5CAOPbscCCRVH50X8UulY/edit?usp=sharing"",""JUNI!L51:L70"")"),"")</f>
        <v/>
      </c>
      <c r="U59" s="42">
        <f>IFERROR(__xludf.DUMMYFUNCTION("IMPORTRANGE(""https://docs.google.com/spreadsheets/d/17TnzcKnlaqlAyM_3lnNpgK5CAOPbscCCRVH50X8UulY/edit?usp=sharing"",""JUNI!U51:U70"")"),0.0)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/>
      <c r="F60" s="52">
        <f>IFERROR(__xludf.DUMMYFUNCTION("""COMPUTED_VALUE"""),6.0)</f>
        <v>6</v>
      </c>
      <c r="G60" s="133">
        <v>70000.0</v>
      </c>
      <c r="H60" s="31">
        <f t="shared" si="17"/>
        <v>420000</v>
      </c>
      <c r="I60" s="31">
        <f t="shared" si="18"/>
        <v>60000</v>
      </c>
      <c r="J60" s="32" t="str">
        <f t="shared" si="19"/>
        <v/>
      </c>
      <c r="K60" s="41"/>
      <c r="L60" s="33">
        <f t="shared" si="20"/>
        <v>0</v>
      </c>
      <c r="M60" s="41"/>
      <c r="N60" s="41"/>
      <c r="O60" s="34">
        <f t="shared" si="21"/>
        <v>480000</v>
      </c>
      <c r="P60" s="35"/>
      <c r="Q60" s="36"/>
      <c r="R60" s="37">
        <f t="shared" si="22"/>
        <v>0</v>
      </c>
      <c r="S60" s="38">
        <f t="shared" si="23"/>
        <v>480000</v>
      </c>
      <c r="T60" s="52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 t="str">
        <f>IFERROR(__xludf.DUMMYFUNCTION("""COMPUTED_VALUE"""),"KHRYSSAN")</f>
        <v>KHRYSSAN</v>
      </c>
      <c r="D61" s="27" t="str">
        <f>IFERROR(__xludf.DUMMYFUNCTION("""COMPUTED_VALUE"""),"ADMIN")</f>
        <v>ADMIN</v>
      </c>
      <c r="E61" s="28"/>
      <c r="F61" s="52">
        <f>IFERROR(__xludf.DUMMYFUNCTION("""COMPUTED_VALUE"""),6.0)</f>
        <v>6</v>
      </c>
      <c r="G61" s="133">
        <v>70000.0</v>
      </c>
      <c r="H61" s="31">
        <f t="shared" si="17"/>
        <v>420000</v>
      </c>
      <c r="I61" s="31">
        <f t="shared" si="18"/>
        <v>60000</v>
      </c>
      <c r="J61" s="32" t="str">
        <f t="shared" si="19"/>
        <v/>
      </c>
      <c r="K61" s="41"/>
      <c r="L61" s="33">
        <f t="shared" si="20"/>
        <v>0</v>
      </c>
      <c r="M61" s="41"/>
      <c r="N61" s="41"/>
      <c r="O61" s="34">
        <f t="shared" si="21"/>
        <v>480000</v>
      </c>
      <c r="P61" s="36"/>
      <c r="Q61" s="36"/>
      <c r="R61" s="37">
        <f t="shared" si="22"/>
        <v>0</v>
      </c>
      <c r="S61" s="38">
        <f t="shared" si="23"/>
        <v>480000</v>
      </c>
      <c r="T61" s="52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IFERROR(__xludf.DUMMYFUNCTION("""COMPUTED_VALUE"""),"ANDRI")</f>
        <v>ANDRI</v>
      </c>
      <c r="D62" s="27" t="str">
        <f>IFERROR(__xludf.DUMMYFUNCTION("""COMPUTED_VALUE"""),"DESIGN BORDIR")</f>
        <v>DESIGN BORDIR</v>
      </c>
      <c r="E62" s="28"/>
      <c r="F62" s="52">
        <f>IFERROR(__xludf.DUMMYFUNCTION("""COMPUTED_VALUE"""),3.0)</f>
        <v>3</v>
      </c>
      <c r="G62" s="133">
        <v>70000.0</v>
      </c>
      <c r="H62" s="31">
        <f t="shared" si="17"/>
        <v>210000</v>
      </c>
      <c r="I62" s="31">
        <f t="shared" si="18"/>
        <v>30000</v>
      </c>
      <c r="J62" s="32" t="str">
        <f t="shared" si="19"/>
        <v/>
      </c>
      <c r="K62" s="32"/>
      <c r="L62" s="33">
        <f t="shared" si="20"/>
        <v>0</v>
      </c>
      <c r="M62" s="32"/>
      <c r="N62" s="32"/>
      <c r="O62" s="34">
        <f t="shared" si="21"/>
        <v>240000</v>
      </c>
      <c r="P62" s="132">
        <v>40000.0</v>
      </c>
      <c r="Q62" s="36"/>
      <c r="R62" s="37">
        <f t="shared" si="22"/>
        <v>40000</v>
      </c>
      <c r="S62" s="38">
        <f t="shared" si="23"/>
        <v>200000</v>
      </c>
      <c r="T62" s="52" t="str">
        <f>IFERROR(__xludf.DUMMYFUNCTION("""COMPUTED_VALUE"""),"setengah hari")</f>
        <v>setengah hari</v>
      </c>
      <c r="U62" s="42">
        <f>IFERROR(__xludf.DUMMYFUNCTION("""COMPUTED_VALUE"""),0.0)</f>
        <v>0</v>
      </c>
      <c r="V62" s="63"/>
      <c r="W62" s="63"/>
    </row>
    <row r="63" ht="37.5" customHeight="1">
      <c r="B63" s="25">
        <v>5.0</v>
      </c>
      <c r="C63" s="26" t="str">
        <f>IFERROR(__xludf.DUMMYFUNCTION("""COMPUTED_VALUE"""),"ADIT")</f>
        <v>ADIT</v>
      </c>
      <c r="D63" s="27" t="str">
        <f>IFERROR(__xludf.DUMMYFUNCTION("""COMPUTED_VALUE"""),"CREATOR")</f>
        <v>CREATOR</v>
      </c>
      <c r="E63" s="28"/>
      <c r="F63" s="52">
        <f>IFERROR(__xludf.DUMMYFUNCTION("""COMPUTED_VALUE"""),0.0)</f>
        <v>0</v>
      </c>
      <c r="G63" s="133">
        <v>50000.0</v>
      </c>
      <c r="H63" s="31">
        <f t="shared" si="17"/>
        <v>0</v>
      </c>
      <c r="I63" s="31">
        <f t="shared" si="18"/>
        <v>0</v>
      </c>
      <c r="J63" s="32" t="str">
        <f t="shared" si="19"/>
        <v/>
      </c>
      <c r="K63" s="32"/>
      <c r="L63" s="33">
        <f t="shared" si="20"/>
        <v>0</v>
      </c>
      <c r="M63" s="32"/>
      <c r="N63" s="32"/>
      <c r="O63" s="34">
        <f t="shared" si="21"/>
        <v>0</v>
      </c>
      <c r="P63" s="36"/>
      <c r="Q63" s="36"/>
      <c r="R63" s="37">
        <f t="shared" si="22"/>
        <v>0</v>
      </c>
      <c r="S63" s="38">
        <f t="shared" si="23"/>
        <v>0</v>
      </c>
      <c r="T63" s="52"/>
      <c r="U63" s="42">
        <f>IFERROR(__xludf.DUMMYFUNCTION("""COMPUTED_VALUE"""),0.0)</f>
        <v>0</v>
      </c>
      <c r="V63" s="63"/>
      <c r="W63" s="63"/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/>
      <c r="F64" s="52">
        <f>IFERROR(__xludf.DUMMYFUNCTION("""COMPUTED_VALUE"""),6.0)</f>
        <v>6</v>
      </c>
      <c r="G64" s="133">
        <v>70000.0</v>
      </c>
      <c r="H64" s="31">
        <f t="shared" si="17"/>
        <v>420000</v>
      </c>
      <c r="I64" s="31">
        <f t="shared" si="18"/>
        <v>60000</v>
      </c>
      <c r="J64" s="32" t="str">
        <f t="shared" si="19"/>
        <v/>
      </c>
      <c r="K64" s="32"/>
      <c r="L64" s="33">
        <f t="shared" si="20"/>
        <v>0</v>
      </c>
      <c r="M64" s="32"/>
      <c r="N64" s="32"/>
      <c r="O64" s="34">
        <f t="shared" si="21"/>
        <v>480000</v>
      </c>
      <c r="P64" s="132"/>
      <c r="Q64" s="36"/>
      <c r="R64" s="37">
        <f t="shared" si="22"/>
        <v>0</v>
      </c>
      <c r="S64" s="38">
        <f t="shared" si="23"/>
        <v>480000</v>
      </c>
      <c r="T64" s="52"/>
      <c r="U64" s="42">
        <f>IFERROR(__xludf.DUMMYFUNCTION("""COMPUTED_VALUE"""),0.0)</f>
        <v>0</v>
      </c>
      <c r="V64" s="63"/>
      <c r="W64" s="63"/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/>
      <c r="F65" s="52">
        <f>IFERROR(__xludf.DUMMYFUNCTION("""COMPUTED_VALUE"""),6.0)</f>
        <v>6</v>
      </c>
      <c r="G65" s="133">
        <v>70000.0</v>
      </c>
      <c r="H65" s="31">
        <f t="shared" si="17"/>
        <v>420000</v>
      </c>
      <c r="I65" s="31">
        <f t="shared" si="18"/>
        <v>60000</v>
      </c>
      <c r="J65" s="32" t="str">
        <f t="shared" si="19"/>
        <v/>
      </c>
      <c r="K65" s="32"/>
      <c r="L65" s="33">
        <f t="shared" si="20"/>
        <v>0</v>
      </c>
      <c r="M65" s="32"/>
      <c r="N65" s="32"/>
      <c r="O65" s="34">
        <f t="shared" si="21"/>
        <v>480000</v>
      </c>
      <c r="P65" s="36"/>
      <c r="Q65" s="36"/>
      <c r="R65" s="37">
        <f t="shared" si="22"/>
        <v>0</v>
      </c>
      <c r="S65" s="38">
        <f t="shared" si="23"/>
        <v>480000</v>
      </c>
      <c r="T65" s="52"/>
      <c r="U65" s="42">
        <f>IFERROR(__xludf.DUMMYFUNCTION("""COMPUTED_VALUE"""),0.0)</f>
        <v>0</v>
      </c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/>
      <c r="F66" s="52">
        <f>IFERROR(__xludf.DUMMYFUNCTION("""COMPUTED_VALUE"""),6.0)</f>
        <v>6</v>
      </c>
      <c r="G66" s="133">
        <v>50000.0</v>
      </c>
      <c r="H66" s="31">
        <f t="shared" si="17"/>
        <v>300000</v>
      </c>
      <c r="I66" s="31">
        <f t="shared" si="18"/>
        <v>60000</v>
      </c>
      <c r="J66" s="32" t="str">
        <f t="shared" si="19"/>
        <v/>
      </c>
      <c r="K66" s="32"/>
      <c r="L66" s="33">
        <f t="shared" si="20"/>
        <v>0</v>
      </c>
      <c r="M66" s="32"/>
      <c r="N66" s="32"/>
      <c r="O66" s="34">
        <f t="shared" si="21"/>
        <v>360000</v>
      </c>
      <c r="P66" s="36"/>
      <c r="Q66" s="36"/>
      <c r="R66" s="37">
        <f t="shared" si="22"/>
        <v>0</v>
      </c>
      <c r="S66" s="38">
        <f t="shared" si="23"/>
        <v>360000</v>
      </c>
      <c r="T66" s="52"/>
      <c r="U66" s="42">
        <f>IFERROR(__xludf.DUMMYFUNCTION("""COMPUTED_VALUE"""),0.0)</f>
        <v>0</v>
      </c>
    </row>
    <row r="67" ht="37.5" customHeight="1">
      <c r="B67" s="25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/>
      <c r="F67" s="52">
        <f>IFERROR(__xludf.DUMMYFUNCTION("""COMPUTED_VALUE"""),6.0)</f>
        <v>6</v>
      </c>
      <c r="G67" s="133">
        <v>50000.0</v>
      </c>
      <c r="H67" s="31">
        <f t="shared" si="17"/>
        <v>300000</v>
      </c>
      <c r="I67" s="31">
        <f t="shared" si="18"/>
        <v>60000</v>
      </c>
      <c r="J67" s="32" t="str">
        <f t="shared" si="19"/>
        <v/>
      </c>
      <c r="K67" s="32"/>
      <c r="L67" s="33">
        <f t="shared" si="20"/>
        <v>0</v>
      </c>
      <c r="M67" s="32"/>
      <c r="N67" s="32"/>
      <c r="O67" s="34">
        <f t="shared" si="21"/>
        <v>360000</v>
      </c>
      <c r="P67" s="36"/>
      <c r="Q67" s="36"/>
      <c r="R67" s="37">
        <f t="shared" si="22"/>
        <v>0</v>
      </c>
      <c r="S67" s="38">
        <f t="shared" si="23"/>
        <v>360000</v>
      </c>
      <c r="T67" s="52"/>
      <c r="U67" s="42">
        <f>IFERROR(__xludf.DUMMYFUNCTION("""COMPUTED_VALUE"""),0.0)</f>
        <v>0</v>
      </c>
    </row>
    <row r="68" ht="37.5" customHeight="1">
      <c r="B68" s="25">
        <v>10.0</v>
      </c>
      <c r="C68" s="26" t="str">
        <f>IFERROR(__xludf.DUMMYFUNCTION("""COMPUTED_VALUE"""),"IIS")</f>
        <v>IIS</v>
      </c>
      <c r="D68" s="27" t="str">
        <f>IFERROR(__xludf.DUMMYFUNCTION("""COMPUTED_VALUE"""),"PACKING")</f>
        <v>PACKING</v>
      </c>
      <c r="E68" s="51"/>
      <c r="F68" s="52">
        <f>IFERROR(__xludf.DUMMYFUNCTION("""COMPUTED_VALUE"""),5.0)</f>
        <v>5</v>
      </c>
      <c r="G68" s="133">
        <v>70000.0</v>
      </c>
      <c r="H68" s="31">
        <f t="shared" si="17"/>
        <v>350000</v>
      </c>
      <c r="I68" s="31">
        <f t="shared" si="18"/>
        <v>50000</v>
      </c>
      <c r="J68" s="32" t="str">
        <f t="shared" si="19"/>
        <v/>
      </c>
      <c r="K68" s="32"/>
      <c r="L68" s="33">
        <f t="shared" si="20"/>
        <v>0</v>
      </c>
      <c r="M68" s="32"/>
      <c r="N68" s="32"/>
      <c r="O68" s="34">
        <f t="shared" si="21"/>
        <v>400000</v>
      </c>
      <c r="P68" s="36"/>
      <c r="Q68" s="36"/>
      <c r="R68" s="37">
        <f t="shared" si="22"/>
        <v>0</v>
      </c>
      <c r="S68" s="38">
        <f t="shared" si="23"/>
        <v>400000</v>
      </c>
      <c r="T68" s="52"/>
      <c r="U68" s="42">
        <f>IFERROR(__xludf.DUMMYFUNCTION("""COMPUTED_VALUE"""),0.0)</f>
        <v>0</v>
      </c>
    </row>
    <row r="69" ht="37.5" customHeight="1">
      <c r="B69" s="25">
        <v>11.0</v>
      </c>
      <c r="C69" s="49"/>
      <c r="D69" s="50"/>
      <c r="E69" s="51"/>
      <c r="F69" s="52">
        <f>IFERROR(__xludf.DUMMYFUNCTION("""COMPUTED_VALUE"""),0.0)</f>
        <v>0</v>
      </c>
      <c r="G69" s="45"/>
      <c r="H69" s="31">
        <f t="shared" si="17"/>
        <v>0</v>
      </c>
      <c r="I69" s="31">
        <f t="shared" si="18"/>
        <v>0</v>
      </c>
      <c r="J69" s="32" t="str">
        <f t="shared" si="19"/>
        <v/>
      </c>
      <c r="K69" s="32"/>
      <c r="L69" s="33">
        <f t="shared" si="20"/>
        <v>0</v>
      </c>
      <c r="M69" s="32"/>
      <c r="N69" s="32"/>
      <c r="O69" s="34">
        <f t="shared" si="21"/>
        <v>0</v>
      </c>
      <c r="P69" s="36"/>
      <c r="Q69" s="36"/>
      <c r="R69" s="37">
        <f t="shared" si="22"/>
        <v>0</v>
      </c>
      <c r="S69" s="38">
        <f t="shared" si="23"/>
        <v>0</v>
      </c>
      <c r="T69" s="52"/>
      <c r="U69" s="42">
        <f>IFERROR(__xludf.DUMMYFUNCTION("""COMPUTED_VALUE"""),0.0)</f>
        <v>0</v>
      </c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7"/>
        <v>0</v>
      </c>
      <c r="I70" s="31">
        <f t="shared" si="18"/>
        <v>0</v>
      </c>
      <c r="J70" s="32" t="str">
        <f t="shared" si="19"/>
        <v/>
      </c>
      <c r="K70" s="32"/>
      <c r="L70" s="33">
        <f t="shared" si="20"/>
        <v>0</v>
      </c>
      <c r="M70" s="32"/>
      <c r="N70" s="32"/>
      <c r="O70" s="34">
        <f t="shared" si="21"/>
        <v>0</v>
      </c>
      <c r="P70" s="44"/>
      <c r="Q70" s="44"/>
      <c r="R70" s="37">
        <f t="shared" si="22"/>
        <v>0</v>
      </c>
      <c r="S70" s="38">
        <f t="shared" si="23"/>
        <v>0</v>
      </c>
      <c r="T70" s="39"/>
      <c r="U70" s="42">
        <f>IFERROR(__xludf.DUMMYFUNCTION("""COMPUTED_VALUE"""),0.0)</f>
        <v>0</v>
      </c>
    </row>
    <row r="71" ht="37.5" customHeight="1">
      <c r="B71" s="25">
        <v>13.0</v>
      </c>
      <c r="C71" s="49"/>
      <c r="D71" s="50"/>
      <c r="E71" s="51"/>
      <c r="F71" s="52">
        <f>IFERROR(__xludf.DUMMYFUNCTION("""COMPUTED_VALUE"""),0.0)</f>
        <v>0</v>
      </c>
      <c r="G71" s="45"/>
      <c r="H71" s="31">
        <f t="shared" si="17"/>
        <v>0</v>
      </c>
      <c r="I71" s="31">
        <f t="shared" si="18"/>
        <v>0</v>
      </c>
      <c r="J71" s="32" t="str">
        <f t="shared" si="19"/>
        <v/>
      </c>
      <c r="K71" s="32"/>
      <c r="L71" s="33">
        <f t="shared" si="20"/>
        <v>0</v>
      </c>
      <c r="M71" s="32"/>
      <c r="N71" s="32"/>
      <c r="O71" s="34">
        <f t="shared" si="21"/>
        <v>0</v>
      </c>
      <c r="P71" s="36"/>
      <c r="Q71" s="36"/>
      <c r="R71" s="37">
        <f t="shared" si="22"/>
        <v>0</v>
      </c>
      <c r="S71" s="38">
        <f t="shared" si="23"/>
        <v>0</v>
      </c>
      <c r="T71" s="52"/>
      <c r="U71" s="42">
        <f>IFERROR(__xludf.DUMMYFUNCTION("""COMPUTED_VALUE"""),0.0)</f>
        <v>0</v>
      </c>
    </row>
    <row r="72" ht="37.5" customHeight="1">
      <c r="B72" s="25">
        <v>14.0</v>
      </c>
      <c r="C72" s="49"/>
      <c r="D72" s="50"/>
      <c r="E72" s="51"/>
      <c r="F72" s="52">
        <f>IFERROR(__xludf.DUMMYFUNCTION("""COMPUTED_VALUE"""),0.0)</f>
        <v>0</v>
      </c>
      <c r="G72" s="45"/>
      <c r="H72" s="31">
        <f t="shared" si="17"/>
        <v>0</v>
      </c>
      <c r="I72" s="31">
        <f t="shared" si="18"/>
        <v>0</v>
      </c>
      <c r="J72" s="32" t="str">
        <f t="shared" si="19"/>
        <v/>
      </c>
      <c r="K72" s="32"/>
      <c r="L72" s="33">
        <f t="shared" si="20"/>
        <v>0</v>
      </c>
      <c r="M72" s="32"/>
      <c r="N72" s="32"/>
      <c r="O72" s="34">
        <f t="shared" si="21"/>
        <v>0</v>
      </c>
      <c r="P72" s="36"/>
      <c r="Q72" s="36"/>
      <c r="R72" s="37">
        <f t="shared" si="22"/>
        <v>0</v>
      </c>
      <c r="S72" s="38">
        <f t="shared" si="23"/>
        <v>0</v>
      </c>
      <c r="T72" s="52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7"/>
        <v>0</v>
      </c>
      <c r="I73" s="31">
        <f t="shared" si="18"/>
        <v>0</v>
      </c>
      <c r="J73" s="32" t="str">
        <f t="shared" si="19"/>
        <v/>
      </c>
      <c r="K73" s="32"/>
      <c r="L73" s="33">
        <f t="shared" si="20"/>
        <v>0</v>
      </c>
      <c r="M73" s="32"/>
      <c r="N73" s="32"/>
      <c r="O73" s="34">
        <f t="shared" si="21"/>
        <v>0</v>
      </c>
      <c r="P73" s="44"/>
      <c r="Q73" s="44"/>
      <c r="R73" s="37">
        <f t="shared" si="22"/>
        <v>0</v>
      </c>
      <c r="S73" s="38">
        <f t="shared" si="23"/>
        <v>0</v>
      </c>
      <c r="T73" s="39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7"/>
        <v>0</v>
      </c>
      <c r="I74" s="31">
        <f t="shared" si="18"/>
        <v>0</v>
      </c>
      <c r="J74" s="32" t="str">
        <f t="shared" si="19"/>
        <v/>
      </c>
      <c r="K74" s="32"/>
      <c r="L74" s="33">
        <f t="shared" si="20"/>
        <v>0</v>
      </c>
      <c r="M74" s="32"/>
      <c r="N74" s="32"/>
      <c r="O74" s="34">
        <f t="shared" si="21"/>
        <v>0</v>
      </c>
      <c r="P74" s="44"/>
      <c r="Q74" s="44"/>
      <c r="R74" s="37">
        <f t="shared" si="22"/>
        <v>0</v>
      </c>
      <c r="S74" s="38">
        <f t="shared" si="23"/>
        <v>0</v>
      </c>
      <c r="T74" s="39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7"/>
        <v>0</v>
      </c>
      <c r="I75" s="31">
        <f t="shared" si="18"/>
        <v>0</v>
      </c>
      <c r="J75" s="32" t="str">
        <f t="shared" si="19"/>
        <v/>
      </c>
      <c r="K75" s="32"/>
      <c r="L75" s="33">
        <f t="shared" si="20"/>
        <v>0</v>
      </c>
      <c r="M75" s="32"/>
      <c r="N75" s="32"/>
      <c r="O75" s="34">
        <f t="shared" si="21"/>
        <v>0</v>
      </c>
      <c r="P75" s="44"/>
      <c r="Q75" s="44"/>
      <c r="R75" s="37">
        <f t="shared" si="22"/>
        <v>0</v>
      </c>
      <c r="S75" s="38">
        <f t="shared" si="23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7"/>
        <v>0</v>
      </c>
      <c r="I76" s="31">
        <f t="shared" si="18"/>
        <v>0</v>
      </c>
      <c r="J76" s="32" t="str">
        <f t="shared" si="19"/>
        <v/>
      </c>
      <c r="K76" s="32"/>
      <c r="L76" s="33">
        <f t="shared" si="20"/>
        <v>0</v>
      </c>
      <c r="M76" s="32"/>
      <c r="N76" s="32"/>
      <c r="O76" s="34">
        <f t="shared" si="21"/>
        <v>0</v>
      </c>
      <c r="P76" s="44"/>
      <c r="Q76" s="44"/>
      <c r="R76" s="37">
        <f t="shared" si="22"/>
        <v>0</v>
      </c>
      <c r="S76" s="38">
        <f t="shared" si="23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7"/>
        <v>0</v>
      </c>
      <c r="I77" s="31">
        <f t="shared" si="18"/>
        <v>0</v>
      </c>
      <c r="J77" s="32" t="str">
        <f t="shared" si="19"/>
        <v/>
      </c>
      <c r="K77" s="32"/>
      <c r="L77" s="33">
        <f t="shared" si="20"/>
        <v>0</v>
      </c>
      <c r="M77" s="32"/>
      <c r="N77" s="32"/>
      <c r="O77" s="34">
        <f t="shared" si="21"/>
        <v>0</v>
      </c>
      <c r="P77" s="44"/>
      <c r="Q77" s="44"/>
      <c r="R77" s="37">
        <f t="shared" si="22"/>
        <v>0</v>
      </c>
      <c r="S77" s="38">
        <f t="shared" si="23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7"/>
        <v>0</v>
      </c>
      <c r="I78" s="31">
        <f t="shared" si="18"/>
        <v>0</v>
      </c>
      <c r="J78" s="32" t="str">
        <f t="shared" si="19"/>
        <v/>
      </c>
      <c r="K78" s="32"/>
      <c r="L78" s="33">
        <f t="shared" si="20"/>
        <v>0</v>
      </c>
      <c r="M78" s="32"/>
      <c r="N78" s="32"/>
      <c r="O78" s="34">
        <f t="shared" si="21"/>
        <v>0</v>
      </c>
      <c r="P78" s="44"/>
      <c r="Q78" s="44"/>
      <c r="R78" s="37">
        <f t="shared" si="22"/>
        <v>0</v>
      </c>
      <c r="S78" s="38">
        <f t="shared" si="23"/>
        <v>0</v>
      </c>
      <c r="T78" s="51"/>
      <c r="U78" s="42">
        <f>IFERROR(__xludf.DUMMYFUNCTION("""COMPUTED_VALUE"""),0.0)</f>
        <v>0</v>
      </c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7"/>
        <v>0</v>
      </c>
      <c r="I79" s="31">
        <f t="shared" si="18"/>
        <v>0</v>
      </c>
      <c r="J79" s="32" t="str">
        <f t="shared" si="19"/>
        <v/>
      </c>
      <c r="K79" s="32"/>
      <c r="L79" s="33">
        <f t="shared" si="20"/>
        <v>0</v>
      </c>
      <c r="M79" s="32"/>
      <c r="N79" s="32"/>
      <c r="O79" s="34">
        <f t="shared" si="21"/>
        <v>0</v>
      </c>
      <c r="P79" s="44"/>
      <c r="Q79" s="44"/>
      <c r="R79" s="37">
        <f t="shared" si="22"/>
        <v>0</v>
      </c>
      <c r="S79" s="38">
        <f t="shared" si="23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7"/>
        <v>0</v>
      </c>
      <c r="I80" s="31">
        <f t="shared" si="18"/>
        <v>0</v>
      </c>
      <c r="J80" s="32" t="str">
        <f t="shared" si="19"/>
        <v/>
      </c>
      <c r="K80" s="32"/>
      <c r="L80" s="33">
        <f t="shared" si="20"/>
        <v>0</v>
      </c>
      <c r="M80" s="32"/>
      <c r="N80" s="32"/>
      <c r="O80" s="34">
        <f t="shared" si="21"/>
        <v>0</v>
      </c>
      <c r="P80" s="44"/>
      <c r="Q80" s="44"/>
      <c r="R80" s="37">
        <f t="shared" si="22"/>
        <v>0</v>
      </c>
      <c r="S80" s="38">
        <f t="shared" si="23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3960000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IFERROR(__xludf.DUMMYFUNCTION("IMPORTRANGE(""https://docs.google.com/spreadsheets/d/17TnzcKnlaqlAyM_3lnNpgK5CAOPbscCCRVH50X8UulY/edit?usp=sharing"",""JUNI!B72"")"),"TANGGAL : 22-27 JUNI 2026")</f>
        <v>TANGGAL : 22-27 JUNI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IFERROR(__xludf.DUMMYFUNCTION("IMPORTRANGE(""https://docs.google.com/spreadsheets/d/17TnzcKnlaqlAyM_3lnNpgK5CAOPbscCCRVH50X8UulY/edit?usp=sharing"",""JUNI!B73:D92"")"),"EPUL")</f>
        <v>EPUL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IFERROR(__xludf.DUMMYFUNCTION("IMPORTRANGE(""https://docs.google.com/spreadsheets/d/17TnzcKnlaqlAyM_3lnNpgK5CAOPbscCCRVH50X8UulY/edit?usp=sharing"",""JUNI!K73:K91"")"),6.0)</f>
        <v>6</v>
      </c>
      <c r="G84" s="30">
        <v>110000.0</v>
      </c>
      <c r="H84" s="31">
        <f t="shared" ref="H84:H105" si="24">F84*G84</f>
        <v>660000</v>
      </c>
      <c r="I84" s="31">
        <f t="shared" ref="I84:I105" si="25">F84*10000</f>
        <v>60000</v>
      </c>
      <c r="J84" s="32" t="str">
        <f t="shared" ref="J84:J105" si="26">IF(E84="SHIFT 2",I84,"")</f>
        <v/>
      </c>
      <c r="K84" s="32"/>
      <c r="L84" s="33">
        <f t="shared" ref="L84:L105" si="27">U84*$L$83</f>
        <v>0</v>
      </c>
      <c r="M84" s="32"/>
      <c r="N84" s="32"/>
      <c r="O84" s="34">
        <f t="shared" ref="O84:O105" si="28">SUM(H84:N84)</f>
        <v>720000</v>
      </c>
      <c r="P84" s="36"/>
      <c r="Q84" s="36"/>
      <c r="R84" s="37">
        <f t="shared" ref="R84:R105" si="29">SUM(P84:Q84)</f>
        <v>0</v>
      </c>
      <c r="S84" s="38">
        <f t="shared" ref="S84:S105" si="30">O84-R84</f>
        <v>720000</v>
      </c>
      <c r="T84" s="138" t="str">
        <f>IFERROR(__xludf.DUMMYFUNCTION("IMPORTRANGE(""https://docs.google.com/spreadsheets/d/17TnzcKnlaqlAyM_3lnNpgK5CAOPbscCCRVH50X8UulY/edit?usp=sharing"",""JUNI!L73:L92"")"),"")</f>
        <v/>
      </c>
      <c r="U84" s="42">
        <f>IFERROR(__xludf.DUMMYFUNCTION("IMPORTRANGE(""https://docs.google.com/spreadsheets/d/17TnzcKnlaqlAyM_3lnNpgK5CAOPbscCCRVH50X8UulY/edit?usp=sharing"",""JUNI!U73:U92"")"),0.0)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IFERROR(__xludf.DUMMYFUNCTION("""COMPUTED_VALUE"""),6.0)</f>
        <v>6</v>
      </c>
      <c r="G85" s="30">
        <v>70000.0</v>
      </c>
      <c r="H85" s="31">
        <f t="shared" si="24"/>
        <v>420000</v>
      </c>
      <c r="I85" s="31">
        <f t="shared" si="25"/>
        <v>60000</v>
      </c>
      <c r="J85" s="32" t="str">
        <f t="shared" si="26"/>
        <v/>
      </c>
      <c r="K85" s="41"/>
      <c r="L85" s="33">
        <f t="shared" si="27"/>
        <v>0</v>
      </c>
      <c r="M85" s="41"/>
      <c r="N85" s="41"/>
      <c r="O85" s="34">
        <f t="shared" si="28"/>
        <v>480000</v>
      </c>
      <c r="P85" s="35"/>
      <c r="Q85" s="36"/>
      <c r="R85" s="37">
        <f t="shared" si="29"/>
        <v>0</v>
      </c>
      <c r="S85" s="38">
        <f t="shared" si="30"/>
        <v>480000</v>
      </c>
      <c r="T85" s="138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 t="str">
        <f>IFERROR(__xludf.DUMMYFUNCTION("""COMPUTED_VALUE"""),"KHRYSSAN")</f>
        <v>KHRYSSAN</v>
      </c>
      <c r="D86" s="27" t="str">
        <f>IFERROR(__xludf.DUMMYFUNCTION("""COMPUTED_VALUE"""),"ADMIN")</f>
        <v>ADMIN</v>
      </c>
      <c r="E86" s="28"/>
      <c r="F86" s="52">
        <f>IFERROR(__xludf.DUMMYFUNCTION("""COMPUTED_VALUE"""),6.0)</f>
        <v>6</v>
      </c>
      <c r="G86" s="30">
        <v>70000.0</v>
      </c>
      <c r="H86" s="31">
        <f t="shared" si="24"/>
        <v>420000</v>
      </c>
      <c r="I86" s="31">
        <f t="shared" si="25"/>
        <v>60000</v>
      </c>
      <c r="J86" s="32" t="str">
        <f t="shared" si="26"/>
        <v/>
      </c>
      <c r="K86" s="41"/>
      <c r="L86" s="33">
        <f t="shared" si="27"/>
        <v>0</v>
      </c>
      <c r="M86" s="41"/>
      <c r="N86" s="41"/>
      <c r="O86" s="34">
        <f t="shared" si="28"/>
        <v>480000</v>
      </c>
      <c r="P86" s="36"/>
      <c r="Q86" s="36"/>
      <c r="R86" s="37">
        <f t="shared" si="29"/>
        <v>0</v>
      </c>
      <c r="S86" s="38">
        <f t="shared" si="30"/>
        <v>480000</v>
      </c>
      <c r="T86" s="138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IFERROR(__xludf.DUMMYFUNCTION("""COMPUTED_VALUE"""),"ANDRI")</f>
        <v>ANDRI</v>
      </c>
      <c r="D87" s="27" t="str">
        <f>IFERROR(__xludf.DUMMYFUNCTION("""COMPUTED_VALUE"""),"DESIGN BORDIR")</f>
        <v>DESIGN BORDIR</v>
      </c>
      <c r="E87" s="28"/>
      <c r="F87" s="52">
        <f>IFERROR(__xludf.DUMMYFUNCTION("""COMPUTED_VALUE"""),6.0)</f>
        <v>6</v>
      </c>
      <c r="G87" s="30">
        <v>70000.0</v>
      </c>
      <c r="H87" s="31">
        <f t="shared" si="24"/>
        <v>420000</v>
      </c>
      <c r="I87" s="31">
        <f t="shared" si="25"/>
        <v>60000</v>
      </c>
      <c r="J87" s="32" t="str">
        <f t="shared" si="26"/>
        <v/>
      </c>
      <c r="K87" s="32"/>
      <c r="L87" s="33">
        <f t="shared" si="27"/>
        <v>0</v>
      </c>
      <c r="M87" s="32"/>
      <c r="N87" s="32"/>
      <c r="O87" s="34">
        <f t="shared" si="28"/>
        <v>480000</v>
      </c>
      <c r="P87" s="132">
        <v>100000.0</v>
      </c>
      <c r="Q87" s="36"/>
      <c r="R87" s="37">
        <f t="shared" si="29"/>
        <v>100000</v>
      </c>
      <c r="S87" s="38">
        <f t="shared" si="30"/>
        <v>380000</v>
      </c>
      <c r="T87" s="138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IFERROR(__xludf.DUMMYFUNCTION("""COMPUTED_VALUE"""),"ADIT")</f>
        <v>ADIT</v>
      </c>
      <c r="D88" s="27" t="str">
        <f>IFERROR(__xludf.DUMMYFUNCTION("""COMPUTED_VALUE"""),"CREATOR")</f>
        <v>CREATOR</v>
      </c>
      <c r="E88" s="28"/>
      <c r="F88" s="52">
        <f>IFERROR(__xludf.DUMMYFUNCTION("""COMPUTED_VALUE"""),0.0)</f>
        <v>0</v>
      </c>
      <c r="G88" s="30">
        <v>50000.0</v>
      </c>
      <c r="H88" s="31">
        <f t="shared" si="24"/>
        <v>0</v>
      </c>
      <c r="I88" s="31">
        <f t="shared" si="25"/>
        <v>0</v>
      </c>
      <c r="J88" s="32" t="str">
        <f t="shared" si="26"/>
        <v/>
      </c>
      <c r="K88" s="32"/>
      <c r="L88" s="33">
        <f t="shared" si="27"/>
        <v>0</v>
      </c>
      <c r="M88" s="32"/>
      <c r="N88" s="32"/>
      <c r="O88" s="34">
        <f t="shared" si="28"/>
        <v>0</v>
      </c>
      <c r="P88" s="36"/>
      <c r="Q88" s="36"/>
      <c r="R88" s="37">
        <f t="shared" si="29"/>
        <v>0</v>
      </c>
      <c r="S88" s="38">
        <f t="shared" si="30"/>
        <v>0</v>
      </c>
      <c r="T88" s="138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IFERROR(__xludf.DUMMYFUNCTION("""COMPUTED_VALUE"""),6.0)</f>
        <v>6</v>
      </c>
      <c r="G89" s="30">
        <v>70000.0</v>
      </c>
      <c r="H89" s="31">
        <f t="shared" si="24"/>
        <v>420000</v>
      </c>
      <c r="I89" s="31">
        <f t="shared" si="25"/>
        <v>60000</v>
      </c>
      <c r="J89" s="32" t="str">
        <f t="shared" si="26"/>
        <v/>
      </c>
      <c r="K89" s="32"/>
      <c r="L89" s="33">
        <f t="shared" si="27"/>
        <v>120000</v>
      </c>
      <c r="M89" s="32"/>
      <c r="N89" s="32"/>
      <c r="O89" s="34">
        <f t="shared" si="28"/>
        <v>600000</v>
      </c>
      <c r="P89" s="132">
        <v>300000.0</v>
      </c>
      <c r="Q89" s="36"/>
      <c r="R89" s="37">
        <f t="shared" si="29"/>
        <v>300000</v>
      </c>
      <c r="S89" s="38">
        <f t="shared" si="30"/>
        <v>300000</v>
      </c>
      <c r="T89" s="138"/>
      <c r="U89" s="42">
        <f>IFERROR(__xludf.DUMMYFUNCTION("""COMPUTED_VALUE"""),8.0)</f>
        <v>8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IFERROR(__xludf.DUMMYFUNCTION("""COMPUTED_VALUE"""),6.0)</f>
        <v>6</v>
      </c>
      <c r="G90" s="30">
        <v>70000.0</v>
      </c>
      <c r="H90" s="31">
        <f t="shared" si="24"/>
        <v>420000</v>
      </c>
      <c r="I90" s="31">
        <f t="shared" si="25"/>
        <v>60000</v>
      </c>
      <c r="J90" s="32" t="str">
        <f t="shared" si="26"/>
        <v/>
      </c>
      <c r="K90" s="32"/>
      <c r="L90" s="33">
        <f t="shared" si="27"/>
        <v>120000</v>
      </c>
      <c r="M90" s="32"/>
      <c r="N90" s="32"/>
      <c r="O90" s="34">
        <f t="shared" si="28"/>
        <v>600000</v>
      </c>
      <c r="P90" s="36"/>
      <c r="Q90" s="36"/>
      <c r="R90" s="37">
        <f t="shared" si="29"/>
        <v>0</v>
      </c>
      <c r="S90" s="38">
        <f t="shared" si="30"/>
        <v>600000</v>
      </c>
      <c r="T90" s="138"/>
      <c r="U90" s="42">
        <f>IFERROR(__xludf.DUMMYFUNCTION("""COMPUTED_VALUE"""),8.0)</f>
        <v>8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IFERROR(__xludf.DUMMYFUNCTION("""COMPUTED_VALUE"""),6.0)</f>
        <v>6</v>
      </c>
      <c r="G91" s="30">
        <v>50000.0</v>
      </c>
      <c r="H91" s="31">
        <f t="shared" si="24"/>
        <v>300000</v>
      </c>
      <c r="I91" s="31">
        <f t="shared" si="25"/>
        <v>60000</v>
      </c>
      <c r="J91" s="32" t="str">
        <f t="shared" si="26"/>
        <v/>
      </c>
      <c r="K91" s="32"/>
      <c r="L91" s="33">
        <f t="shared" si="27"/>
        <v>120000</v>
      </c>
      <c r="M91" s="32"/>
      <c r="N91" s="32"/>
      <c r="O91" s="34">
        <f t="shared" si="28"/>
        <v>480000</v>
      </c>
      <c r="P91" s="36"/>
      <c r="Q91" s="36"/>
      <c r="R91" s="37">
        <f t="shared" si="29"/>
        <v>0</v>
      </c>
      <c r="S91" s="38">
        <f t="shared" si="30"/>
        <v>480000</v>
      </c>
      <c r="T91" s="138"/>
      <c r="U91" s="42">
        <f>IFERROR(__xludf.DUMMYFUNCTION("""COMPUTED_VALUE"""),8.0)</f>
        <v>8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/>
      <c r="F92" s="52">
        <f>IFERROR(__xludf.DUMMYFUNCTION("""COMPUTED_VALUE"""),5.0)</f>
        <v>5</v>
      </c>
      <c r="G92" s="30">
        <v>50000.0</v>
      </c>
      <c r="H92" s="31">
        <f t="shared" si="24"/>
        <v>250000</v>
      </c>
      <c r="I92" s="31">
        <f t="shared" si="25"/>
        <v>50000</v>
      </c>
      <c r="J92" s="32" t="str">
        <f t="shared" si="26"/>
        <v/>
      </c>
      <c r="K92" s="32"/>
      <c r="L92" s="33">
        <f t="shared" si="27"/>
        <v>120000</v>
      </c>
      <c r="M92" s="32"/>
      <c r="N92" s="32"/>
      <c r="O92" s="34">
        <f t="shared" si="28"/>
        <v>420000</v>
      </c>
      <c r="P92" s="36"/>
      <c r="Q92" s="36"/>
      <c r="R92" s="37">
        <f t="shared" si="29"/>
        <v>0</v>
      </c>
      <c r="S92" s="38">
        <f t="shared" si="30"/>
        <v>420000</v>
      </c>
      <c r="T92" s="138"/>
      <c r="U92" s="42">
        <f>IFERROR(__xludf.DUMMYFUNCTION("""COMPUTED_VALUE"""),8.0)</f>
        <v>8</v>
      </c>
    </row>
    <row r="93" ht="37.5" customHeight="1">
      <c r="B93" s="25">
        <v>10.0</v>
      </c>
      <c r="C93" s="26" t="str">
        <f>IFERROR(__xludf.DUMMYFUNCTION("""COMPUTED_VALUE"""),"IIS")</f>
        <v>IIS</v>
      </c>
      <c r="D93" s="27" t="str">
        <f>IFERROR(__xludf.DUMMYFUNCTION("""COMPUTED_VALUE"""),"PACKING")</f>
        <v>PACKING</v>
      </c>
      <c r="E93" s="51"/>
      <c r="F93" s="52">
        <f>IFERROR(__xludf.DUMMYFUNCTION("""COMPUTED_VALUE"""),5.0)</f>
        <v>5</v>
      </c>
      <c r="G93" s="30">
        <v>70000.0</v>
      </c>
      <c r="H93" s="31">
        <f t="shared" si="24"/>
        <v>350000</v>
      </c>
      <c r="I93" s="31">
        <f t="shared" si="25"/>
        <v>50000</v>
      </c>
      <c r="J93" s="32" t="str">
        <f t="shared" si="26"/>
        <v/>
      </c>
      <c r="K93" s="32"/>
      <c r="L93" s="33">
        <f t="shared" si="27"/>
        <v>0</v>
      </c>
      <c r="M93" s="32"/>
      <c r="N93" s="32"/>
      <c r="O93" s="34">
        <f t="shared" si="28"/>
        <v>400000</v>
      </c>
      <c r="P93" s="36"/>
      <c r="Q93" s="36"/>
      <c r="R93" s="37">
        <f t="shared" si="29"/>
        <v>0</v>
      </c>
      <c r="S93" s="38">
        <f t="shared" si="30"/>
        <v>400000</v>
      </c>
      <c r="T93" s="138"/>
      <c r="U93" s="42">
        <f>IFERROR(__xludf.DUMMYFUNCTION("""COMPUTED_VALUE"""),0.0)</f>
        <v>0</v>
      </c>
    </row>
    <row r="94" ht="37.5" customHeight="1">
      <c r="B94" s="25">
        <v>11.0</v>
      </c>
      <c r="C94" s="49"/>
      <c r="D94" s="50"/>
      <c r="E94" s="51"/>
      <c r="F94" s="52">
        <f>IFERROR(__xludf.DUMMYFUNCTION("""COMPUTED_VALUE"""),0.0)</f>
        <v>0</v>
      </c>
      <c r="G94" s="45"/>
      <c r="H94" s="31">
        <f t="shared" si="24"/>
        <v>0</v>
      </c>
      <c r="I94" s="31">
        <f t="shared" si="25"/>
        <v>0</v>
      </c>
      <c r="J94" s="32" t="str">
        <f t="shared" si="26"/>
        <v/>
      </c>
      <c r="K94" s="32"/>
      <c r="L94" s="33">
        <f t="shared" si="27"/>
        <v>0</v>
      </c>
      <c r="M94" s="32"/>
      <c r="N94" s="32"/>
      <c r="O94" s="34">
        <f t="shared" si="28"/>
        <v>0</v>
      </c>
      <c r="P94" s="44"/>
      <c r="Q94" s="44"/>
      <c r="R94" s="37">
        <f t="shared" si="29"/>
        <v>0</v>
      </c>
      <c r="S94" s="38">
        <f t="shared" si="30"/>
        <v>0</v>
      </c>
      <c r="T94" s="138"/>
      <c r="U94" s="42">
        <f>IFERROR(__xludf.DUMMYFUNCTION("""COMPUTED_VALUE"""),0.0)</f>
        <v>0</v>
      </c>
    </row>
    <row r="95" ht="37.5" customHeight="1">
      <c r="B95" s="25">
        <v>12.0</v>
      </c>
      <c r="C95" s="49"/>
      <c r="D95" s="50"/>
      <c r="E95" s="51"/>
      <c r="F95" s="52">
        <f>IFERROR(__xludf.DUMMYFUNCTION("""COMPUTED_VALUE"""),0.0)</f>
        <v>0</v>
      </c>
      <c r="G95" s="45"/>
      <c r="H95" s="31">
        <f t="shared" si="24"/>
        <v>0</v>
      </c>
      <c r="I95" s="31">
        <f t="shared" si="25"/>
        <v>0</v>
      </c>
      <c r="J95" s="32" t="str">
        <f t="shared" si="26"/>
        <v/>
      </c>
      <c r="K95" s="32"/>
      <c r="L95" s="33">
        <f t="shared" si="27"/>
        <v>0</v>
      </c>
      <c r="M95" s="32"/>
      <c r="N95" s="32"/>
      <c r="O95" s="34">
        <f t="shared" si="28"/>
        <v>0</v>
      </c>
      <c r="P95" s="44"/>
      <c r="Q95" s="44"/>
      <c r="R95" s="37">
        <f t="shared" si="29"/>
        <v>0</v>
      </c>
      <c r="S95" s="38">
        <f t="shared" si="30"/>
        <v>0</v>
      </c>
      <c r="T95" s="138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51"/>
      <c r="F96" s="52">
        <f>IFERROR(__xludf.DUMMYFUNCTION("""COMPUTED_VALUE"""),0.0)</f>
        <v>0</v>
      </c>
      <c r="G96" s="45"/>
      <c r="H96" s="31">
        <f t="shared" si="24"/>
        <v>0</v>
      </c>
      <c r="I96" s="31">
        <f t="shared" si="25"/>
        <v>0</v>
      </c>
      <c r="J96" s="32" t="str">
        <f t="shared" si="26"/>
        <v/>
      </c>
      <c r="K96" s="32"/>
      <c r="L96" s="33">
        <f t="shared" si="27"/>
        <v>0</v>
      </c>
      <c r="M96" s="32"/>
      <c r="N96" s="32"/>
      <c r="O96" s="34">
        <f t="shared" si="28"/>
        <v>0</v>
      </c>
      <c r="P96" s="44"/>
      <c r="Q96" s="44"/>
      <c r="R96" s="37">
        <f t="shared" si="29"/>
        <v>0</v>
      </c>
      <c r="S96" s="38">
        <f t="shared" si="30"/>
        <v>0</v>
      </c>
      <c r="T96" s="138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51"/>
      <c r="F97" s="52">
        <f>IFERROR(__xludf.DUMMYFUNCTION("""COMPUTED_VALUE"""),0.0)</f>
        <v>0</v>
      </c>
      <c r="G97" s="45"/>
      <c r="H97" s="31">
        <f t="shared" si="24"/>
        <v>0</v>
      </c>
      <c r="I97" s="31">
        <f t="shared" si="25"/>
        <v>0</v>
      </c>
      <c r="J97" s="32" t="str">
        <f t="shared" si="26"/>
        <v/>
      </c>
      <c r="K97" s="32"/>
      <c r="L97" s="33">
        <f t="shared" si="27"/>
        <v>0</v>
      </c>
      <c r="M97" s="32"/>
      <c r="N97" s="32"/>
      <c r="O97" s="34">
        <f t="shared" si="28"/>
        <v>0</v>
      </c>
      <c r="P97" s="44"/>
      <c r="Q97" s="44"/>
      <c r="R97" s="37">
        <f t="shared" si="29"/>
        <v>0</v>
      </c>
      <c r="S97" s="38">
        <f t="shared" si="30"/>
        <v>0</v>
      </c>
      <c r="T97" s="138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0"/>
      <c r="E98" s="51"/>
      <c r="F98" s="52">
        <f>IFERROR(__xludf.DUMMYFUNCTION("""COMPUTED_VALUE"""),0.0)</f>
        <v>0</v>
      </c>
      <c r="G98" s="45"/>
      <c r="H98" s="31">
        <f t="shared" si="24"/>
        <v>0</v>
      </c>
      <c r="I98" s="31">
        <f t="shared" si="25"/>
        <v>0</v>
      </c>
      <c r="J98" s="32" t="str">
        <f t="shared" si="26"/>
        <v/>
      </c>
      <c r="K98" s="32"/>
      <c r="L98" s="33">
        <f t="shared" si="27"/>
        <v>0</v>
      </c>
      <c r="M98" s="32"/>
      <c r="N98" s="32"/>
      <c r="O98" s="34">
        <f t="shared" si="28"/>
        <v>0</v>
      </c>
      <c r="P98" s="44"/>
      <c r="Q98" s="44"/>
      <c r="R98" s="37">
        <f t="shared" si="29"/>
        <v>0</v>
      </c>
      <c r="S98" s="38">
        <f t="shared" si="30"/>
        <v>0</v>
      </c>
      <c r="T98" s="138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4"/>
        <v>0</v>
      </c>
      <c r="I99" s="31">
        <f t="shared" si="25"/>
        <v>0</v>
      </c>
      <c r="J99" s="32" t="str">
        <f t="shared" si="26"/>
        <v/>
      </c>
      <c r="K99" s="32"/>
      <c r="L99" s="33">
        <f t="shared" si="27"/>
        <v>0</v>
      </c>
      <c r="M99" s="32"/>
      <c r="N99" s="32"/>
      <c r="O99" s="34">
        <f t="shared" si="28"/>
        <v>0</v>
      </c>
      <c r="P99" s="44"/>
      <c r="Q99" s="44"/>
      <c r="R99" s="37">
        <f t="shared" si="29"/>
        <v>0</v>
      </c>
      <c r="S99" s="38">
        <f t="shared" si="30"/>
        <v>0</v>
      </c>
      <c r="T99" s="138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4"/>
        <v>0</v>
      </c>
      <c r="I100" s="31">
        <f t="shared" si="25"/>
        <v>0</v>
      </c>
      <c r="J100" s="32" t="str">
        <f t="shared" si="26"/>
        <v/>
      </c>
      <c r="K100" s="32"/>
      <c r="L100" s="33">
        <f t="shared" si="27"/>
        <v>0</v>
      </c>
      <c r="M100" s="32"/>
      <c r="N100" s="32"/>
      <c r="O100" s="34">
        <f t="shared" si="28"/>
        <v>0</v>
      </c>
      <c r="P100" s="44"/>
      <c r="Q100" s="44"/>
      <c r="R100" s="37">
        <f t="shared" si="29"/>
        <v>0</v>
      </c>
      <c r="S100" s="38">
        <f t="shared" si="30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4"/>
        <v>0</v>
      </c>
      <c r="I101" s="31">
        <f t="shared" si="25"/>
        <v>0</v>
      </c>
      <c r="J101" s="32" t="str">
        <f t="shared" si="26"/>
        <v/>
      </c>
      <c r="K101" s="32"/>
      <c r="L101" s="33">
        <f t="shared" si="27"/>
        <v>0</v>
      </c>
      <c r="M101" s="32"/>
      <c r="N101" s="32"/>
      <c r="O101" s="34">
        <f t="shared" si="28"/>
        <v>0</v>
      </c>
      <c r="P101" s="44"/>
      <c r="Q101" s="44"/>
      <c r="R101" s="37">
        <f t="shared" si="29"/>
        <v>0</v>
      </c>
      <c r="S101" s="38">
        <f t="shared" si="30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4"/>
        <v>0</v>
      </c>
      <c r="I102" s="31">
        <f t="shared" si="25"/>
        <v>0</v>
      </c>
      <c r="J102" s="32" t="str">
        <f t="shared" si="26"/>
        <v/>
      </c>
      <c r="K102" s="32"/>
      <c r="L102" s="33">
        <f t="shared" si="27"/>
        <v>0</v>
      </c>
      <c r="M102" s="32"/>
      <c r="N102" s="32"/>
      <c r="O102" s="34">
        <f t="shared" si="28"/>
        <v>0</v>
      </c>
      <c r="P102" s="44"/>
      <c r="Q102" s="44"/>
      <c r="R102" s="37">
        <f t="shared" si="29"/>
        <v>0</v>
      </c>
      <c r="S102" s="38">
        <f t="shared" si="30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4"/>
        <v>0</v>
      </c>
      <c r="I103" s="31">
        <f t="shared" si="25"/>
        <v>0</v>
      </c>
      <c r="J103" s="32" t="str">
        <f t="shared" si="26"/>
        <v/>
      </c>
      <c r="K103" s="32"/>
      <c r="L103" s="33">
        <f t="shared" si="27"/>
        <v>0</v>
      </c>
      <c r="M103" s="32"/>
      <c r="N103" s="32"/>
      <c r="O103" s="34">
        <f t="shared" si="28"/>
        <v>0</v>
      </c>
      <c r="P103" s="44"/>
      <c r="Q103" s="44"/>
      <c r="R103" s="37">
        <f t="shared" si="29"/>
        <v>0</v>
      </c>
      <c r="S103" s="38">
        <f t="shared" si="30"/>
        <v>0</v>
      </c>
      <c r="T103" s="51"/>
      <c r="U103" s="42">
        <f>IFERROR(__xludf.DUMMYFUNCTION("""COMPUTED_VALUE"""),0.0)</f>
        <v>0</v>
      </c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4"/>
        <v>0</v>
      </c>
      <c r="I104" s="31">
        <f t="shared" si="25"/>
        <v>0</v>
      </c>
      <c r="J104" s="32" t="str">
        <f t="shared" si="26"/>
        <v/>
      </c>
      <c r="K104" s="32"/>
      <c r="L104" s="33">
        <f t="shared" si="27"/>
        <v>0</v>
      </c>
      <c r="M104" s="32"/>
      <c r="N104" s="32"/>
      <c r="O104" s="34">
        <f t="shared" si="28"/>
        <v>0</v>
      </c>
      <c r="P104" s="44"/>
      <c r="Q104" s="44"/>
      <c r="R104" s="37">
        <f t="shared" si="29"/>
        <v>0</v>
      </c>
      <c r="S104" s="38">
        <f t="shared" si="30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4"/>
        <v>0</v>
      </c>
      <c r="I105" s="31">
        <f t="shared" si="25"/>
        <v>0</v>
      </c>
      <c r="J105" s="32" t="str">
        <f t="shared" si="26"/>
        <v/>
      </c>
      <c r="K105" s="32"/>
      <c r="L105" s="33">
        <f t="shared" si="27"/>
        <v>0</v>
      </c>
      <c r="M105" s="32"/>
      <c r="N105" s="32"/>
      <c r="O105" s="34">
        <f t="shared" si="28"/>
        <v>0</v>
      </c>
      <c r="P105" s="44"/>
      <c r="Q105" s="44"/>
      <c r="R105" s="37">
        <f t="shared" si="29"/>
        <v>0</v>
      </c>
      <c r="S105" s="38">
        <f t="shared" si="30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4260000</v>
      </c>
      <c r="T106" s="57"/>
      <c r="U106" s="58"/>
    </row>
    <row r="107" ht="37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IFERROR(__xludf.DUMMYFUNCTION("IMPORTRANGE(""https://docs.google.com/spreadsheets/d/17TnzcKnlaqlAyM_3lnNpgK5CAOPbscCCRVH50X8UulY/edit?usp=sharing"",""JUNI!B94"")"),"TANGGAL : 29-30 JUNI 2026")</f>
        <v>TANGGAL : 29-30 JUNI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IFERROR(__xludf.DUMMYFUNCTION("IMPORTRANGE(""https://docs.google.com/spreadsheets/d/17TnzcKnlaqlAyM_3lnNpgK5CAOPbscCCRVH50X8UulY/edit?usp=sharing"",""JUNI!B95:D114"")"),"EPUL")</f>
        <v>EPUL</v>
      </c>
      <c r="D109" s="27" t="str">
        <f>IFERROR(__xludf.DUMMYFUNCTION("""COMPUTED_VALUE"""),"KEPALA")</f>
        <v>KEPALA</v>
      </c>
      <c r="E109" s="28"/>
      <c r="F109" s="52">
        <f>IFERROR(__xludf.DUMMYFUNCTION("IMPORTRANGE(""https://docs.google.com/spreadsheets/d/17TnzcKnlaqlAyM_3lnNpgK5CAOPbscCCRVH50X8UulY/edit?usp=sharing"",""JUNI!K95:K113"")"),2.0)</f>
        <v>2</v>
      </c>
      <c r="G109" s="30">
        <v>110000.0</v>
      </c>
      <c r="H109" s="31">
        <f t="shared" ref="H109:H130" si="31">F109*G109</f>
        <v>220000</v>
      </c>
      <c r="I109" s="31">
        <f t="shared" ref="I109:I130" si="32">F109*10000</f>
        <v>20000</v>
      </c>
      <c r="J109" s="32" t="str">
        <f t="shared" ref="J109:J130" si="33">IF(E109="SHIFT 2",I109,"")</f>
        <v/>
      </c>
      <c r="K109" s="32"/>
      <c r="L109" s="33">
        <f t="shared" ref="L109:L130" si="34">U109*$L$108</f>
        <v>0</v>
      </c>
      <c r="M109" s="32"/>
      <c r="N109" s="32"/>
      <c r="O109" s="34">
        <f t="shared" ref="O109:O130" si="35">SUM(H109:N109)</f>
        <v>240000</v>
      </c>
      <c r="P109" s="44"/>
      <c r="Q109" s="44"/>
      <c r="R109" s="37">
        <f t="shared" ref="R109:R130" si="36">SUM(P109:Q109)</f>
        <v>0</v>
      </c>
      <c r="S109" s="38">
        <f t="shared" ref="S109:S130" si="37">O109-R109</f>
        <v>240000</v>
      </c>
      <c r="T109" s="39" t="str">
        <f>IFERROR(__xludf.DUMMYFUNCTION("IMPORTRANGE(""https://docs.google.com/spreadsheets/d/17TnzcKnlaqlAyM_3lnNpgK5CAOPbscCCRVH50X8UulY/edit?usp=sharing"",""JUNI!L95:L114"")"),"")</f>
        <v/>
      </c>
      <c r="U109" s="42">
        <f>IFERROR(__xludf.DUMMYFUNCTION("IMPORTRANGE(""https://docs.google.com/spreadsheets/d/17TnzcKnlaqlAyM_3lnNpgK5CAOPbscCCRVH50X8UulY/edit?usp=sharing"",""JUNI!U95:U114"")"),0.0)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/>
      <c r="F110" s="52">
        <f>IFERROR(__xludf.DUMMYFUNCTION("""COMPUTED_VALUE"""),2.0)</f>
        <v>2</v>
      </c>
      <c r="G110" s="30">
        <v>70000.0</v>
      </c>
      <c r="H110" s="31">
        <f t="shared" si="31"/>
        <v>140000</v>
      </c>
      <c r="I110" s="31">
        <f t="shared" si="32"/>
        <v>20000</v>
      </c>
      <c r="J110" s="32" t="str">
        <f t="shared" si="33"/>
        <v/>
      </c>
      <c r="K110" s="41"/>
      <c r="L110" s="33">
        <f t="shared" si="34"/>
        <v>0</v>
      </c>
      <c r="M110" s="41"/>
      <c r="N110" s="41"/>
      <c r="O110" s="34">
        <f t="shared" si="35"/>
        <v>160000</v>
      </c>
      <c r="P110" s="44"/>
      <c r="Q110" s="44"/>
      <c r="R110" s="37">
        <f t="shared" si="36"/>
        <v>0</v>
      </c>
      <c r="S110" s="38">
        <f t="shared" si="37"/>
        <v>160000</v>
      </c>
      <c r="T110" s="39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 t="str">
        <f>IFERROR(__xludf.DUMMYFUNCTION("""COMPUTED_VALUE"""),"KHRYSSAN")</f>
        <v>KHRYSSAN</v>
      </c>
      <c r="D111" s="27" t="str">
        <f>IFERROR(__xludf.DUMMYFUNCTION("""COMPUTED_VALUE"""),"ADMIN")</f>
        <v>ADMIN</v>
      </c>
      <c r="E111" s="28"/>
      <c r="F111" s="52">
        <f>IFERROR(__xludf.DUMMYFUNCTION("""COMPUTED_VALUE"""),2.0)</f>
        <v>2</v>
      </c>
      <c r="G111" s="30">
        <v>70000.0</v>
      </c>
      <c r="H111" s="31">
        <f t="shared" si="31"/>
        <v>140000</v>
      </c>
      <c r="I111" s="31">
        <f t="shared" si="32"/>
        <v>20000</v>
      </c>
      <c r="J111" s="32" t="str">
        <f t="shared" si="33"/>
        <v/>
      </c>
      <c r="K111" s="41"/>
      <c r="L111" s="33">
        <f t="shared" si="34"/>
        <v>0</v>
      </c>
      <c r="M111" s="41"/>
      <c r="N111" s="41"/>
      <c r="O111" s="34">
        <f t="shared" si="35"/>
        <v>160000</v>
      </c>
      <c r="P111" s="44"/>
      <c r="Q111" s="44"/>
      <c r="R111" s="37">
        <f t="shared" si="36"/>
        <v>0</v>
      </c>
      <c r="S111" s="38">
        <f t="shared" si="37"/>
        <v>160000</v>
      </c>
      <c r="T111" s="39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IFERROR(__xludf.DUMMYFUNCTION("""COMPUTED_VALUE"""),"ANDRI")</f>
        <v>ANDRI</v>
      </c>
      <c r="D112" s="27" t="str">
        <f>IFERROR(__xludf.DUMMYFUNCTION("""COMPUTED_VALUE"""),"DESIGN BORDIR")</f>
        <v>DESIGN BORDIR</v>
      </c>
      <c r="E112" s="28"/>
      <c r="F112" s="52">
        <f>IFERROR(__xludf.DUMMYFUNCTION("""COMPUTED_VALUE"""),0.0)</f>
        <v>0</v>
      </c>
      <c r="G112" s="30">
        <v>70000.0</v>
      </c>
      <c r="H112" s="31">
        <f t="shared" si="31"/>
        <v>0</v>
      </c>
      <c r="I112" s="31">
        <f t="shared" si="32"/>
        <v>0</v>
      </c>
      <c r="J112" s="32" t="str">
        <f t="shared" si="33"/>
        <v/>
      </c>
      <c r="K112" s="32"/>
      <c r="L112" s="33">
        <f t="shared" si="34"/>
        <v>0</v>
      </c>
      <c r="M112" s="32"/>
      <c r="N112" s="32"/>
      <c r="O112" s="34">
        <f t="shared" si="35"/>
        <v>0</v>
      </c>
      <c r="P112" s="44"/>
      <c r="Q112" s="44"/>
      <c r="R112" s="37">
        <f t="shared" si="36"/>
        <v>0</v>
      </c>
      <c r="S112" s="38">
        <f t="shared" si="37"/>
        <v>0</v>
      </c>
      <c r="T112" s="39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IFERROR(__xludf.DUMMYFUNCTION("""COMPUTED_VALUE"""),"ADIT")</f>
        <v>ADIT</v>
      </c>
      <c r="D113" s="27" t="str">
        <f>IFERROR(__xludf.DUMMYFUNCTION("""COMPUTED_VALUE"""),"CREATOR")</f>
        <v>CREATOR</v>
      </c>
      <c r="E113" s="28"/>
      <c r="F113" s="52">
        <f>IFERROR(__xludf.DUMMYFUNCTION("""COMPUTED_VALUE"""),0.0)</f>
        <v>0</v>
      </c>
      <c r="G113" s="30">
        <v>50000.0</v>
      </c>
      <c r="H113" s="31">
        <f t="shared" si="31"/>
        <v>0</v>
      </c>
      <c r="I113" s="31">
        <f t="shared" si="32"/>
        <v>0</v>
      </c>
      <c r="J113" s="32" t="str">
        <f t="shared" si="33"/>
        <v/>
      </c>
      <c r="K113" s="32"/>
      <c r="L113" s="33">
        <f t="shared" si="34"/>
        <v>0</v>
      </c>
      <c r="M113" s="32"/>
      <c r="N113" s="32"/>
      <c r="O113" s="34">
        <f t="shared" si="35"/>
        <v>0</v>
      </c>
      <c r="P113" s="44"/>
      <c r="Q113" s="44"/>
      <c r="R113" s="37">
        <f t="shared" si="36"/>
        <v>0</v>
      </c>
      <c r="S113" s="38">
        <f t="shared" si="37"/>
        <v>0</v>
      </c>
      <c r="T113" s="39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/>
      <c r="F114" s="52">
        <f>IFERROR(__xludf.DUMMYFUNCTION("""COMPUTED_VALUE"""),2.0)</f>
        <v>2</v>
      </c>
      <c r="G114" s="30">
        <v>70000.0</v>
      </c>
      <c r="H114" s="31">
        <f t="shared" si="31"/>
        <v>140000</v>
      </c>
      <c r="I114" s="31">
        <f t="shared" si="32"/>
        <v>20000</v>
      </c>
      <c r="J114" s="32" t="str">
        <f t="shared" si="33"/>
        <v/>
      </c>
      <c r="K114" s="32"/>
      <c r="L114" s="33">
        <f t="shared" si="34"/>
        <v>0</v>
      </c>
      <c r="M114" s="32"/>
      <c r="N114" s="32"/>
      <c r="O114" s="34">
        <f t="shared" si="35"/>
        <v>160000</v>
      </c>
      <c r="P114" s="44"/>
      <c r="Q114" s="44"/>
      <c r="R114" s="37">
        <f t="shared" si="36"/>
        <v>0</v>
      </c>
      <c r="S114" s="38">
        <f t="shared" si="37"/>
        <v>160000</v>
      </c>
      <c r="T114" s="39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/>
      <c r="F115" s="52">
        <f>IFERROR(__xludf.DUMMYFUNCTION("""COMPUTED_VALUE"""),2.0)</f>
        <v>2</v>
      </c>
      <c r="G115" s="30">
        <v>70000.0</v>
      </c>
      <c r="H115" s="31">
        <f t="shared" si="31"/>
        <v>140000</v>
      </c>
      <c r="I115" s="31">
        <f t="shared" si="32"/>
        <v>20000</v>
      </c>
      <c r="J115" s="32" t="str">
        <f t="shared" si="33"/>
        <v/>
      </c>
      <c r="K115" s="32"/>
      <c r="L115" s="33">
        <f t="shared" si="34"/>
        <v>0</v>
      </c>
      <c r="M115" s="32"/>
      <c r="N115" s="32"/>
      <c r="O115" s="34">
        <f t="shared" si="35"/>
        <v>160000</v>
      </c>
      <c r="P115" s="44"/>
      <c r="Q115" s="44"/>
      <c r="R115" s="37">
        <f t="shared" si="36"/>
        <v>0</v>
      </c>
      <c r="S115" s="38">
        <f t="shared" si="37"/>
        <v>160000</v>
      </c>
      <c r="T115" s="39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/>
      <c r="F116" s="52">
        <f>IFERROR(__xludf.DUMMYFUNCTION("""COMPUTED_VALUE"""),2.0)</f>
        <v>2</v>
      </c>
      <c r="G116" s="30">
        <v>50000.0</v>
      </c>
      <c r="H116" s="31">
        <f t="shared" si="31"/>
        <v>100000</v>
      </c>
      <c r="I116" s="31">
        <f t="shared" si="32"/>
        <v>20000</v>
      </c>
      <c r="J116" s="32" t="str">
        <f t="shared" si="33"/>
        <v/>
      </c>
      <c r="K116" s="32"/>
      <c r="L116" s="33">
        <f t="shared" si="34"/>
        <v>0</v>
      </c>
      <c r="M116" s="32"/>
      <c r="N116" s="32"/>
      <c r="O116" s="34">
        <f t="shared" si="35"/>
        <v>120000</v>
      </c>
      <c r="P116" s="44"/>
      <c r="Q116" s="44"/>
      <c r="R116" s="37">
        <f t="shared" si="36"/>
        <v>0</v>
      </c>
      <c r="S116" s="38">
        <f t="shared" si="37"/>
        <v>120000</v>
      </c>
      <c r="T116" s="39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/>
      <c r="F117" s="52">
        <f>IFERROR(__xludf.DUMMYFUNCTION("""COMPUTED_VALUE"""),2.0)</f>
        <v>2</v>
      </c>
      <c r="G117" s="30">
        <v>50000.0</v>
      </c>
      <c r="H117" s="31">
        <f t="shared" si="31"/>
        <v>100000</v>
      </c>
      <c r="I117" s="31">
        <f t="shared" si="32"/>
        <v>20000</v>
      </c>
      <c r="J117" s="32" t="str">
        <f t="shared" si="33"/>
        <v/>
      </c>
      <c r="K117" s="32"/>
      <c r="L117" s="33">
        <f t="shared" si="34"/>
        <v>0</v>
      </c>
      <c r="M117" s="32"/>
      <c r="N117" s="32"/>
      <c r="O117" s="34">
        <f t="shared" si="35"/>
        <v>120000</v>
      </c>
      <c r="P117" s="44"/>
      <c r="Q117" s="44"/>
      <c r="R117" s="37">
        <f t="shared" si="36"/>
        <v>0</v>
      </c>
      <c r="S117" s="38">
        <f t="shared" si="37"/>
        <v>120000</v>
      </c>
      <c r="T117" s="39"/>
      <c r="U117" s="42">
        <f>IFERROR(__xludf.DUMMYFUNCTION("""COMPUTED_VALUE"""),0.0)</f>
        <v>0</v>
      </c>
    </row>
    <row r="118" ht="37.5" customHeight="1">
      <c r="B118" s="25">
        <v>10.0</v>
      </c>
      <c r="C118" s="26" t="str">
        <f>IFERROR(__xludf.DUMMYFUNCTION("""COMPUTED_VALUE"""),"IIS")</f>
        <v>IIS</v>
      </c>
      <c r="D118" s="27" t="str">
        <f>IFERROR(__xludf.DUMMYFUNCTION("""COMPUTED_VALUE"""),"PACKING")</f>
        <v>PACKING</v>
      </c>
      <c r="E118" s="51"/>
      <c r="F118" s="52">
        <f>IFERROR(__xludf.DUMMYFUNCTION("""COMPUTED_VALUE"""),2.0)</f>
        <v>2</v>
      </c>
      <c r="G118" s="30">
        <v>70000.0</v>
      </c>
      <c r="H118" s="31">
        <f t="shared" si="31"/>
        <v>140000</v>
      </c>
      <c r="I118" s="31">
        <f t="shared" si="32"/>
        <v>20000</v>
      </c>
      <c r="J118" s="32" t="str">
        <f t="shared" si="33"/>
        <v/>
      </c>
      <c r="K118" s="32"/>
      <c r="L118" s="33">
        <f t="shared" si="34"/>
        <v>0</v>
      </c>
      <c r="M118" s="32"/>
      <c r="N118" s="32"/>
      <c r="O118" s="34">
        <f t="shared" si="35"/>
        <v>160000</v>
      </c>
      <c r="P118" s="44"/>
      <c r="Q118" s="44"/>
      <c r="R118" s="37">
        <f t="shared" si="36"/>
        <v>0</v>
      </c>
      <c r="S118" s="38">
        <f t="shared" si="37"/>
        <v>160000</v>
      </c>
      <c r="T118" s="39"/>
      <c r="U118" s="42">
        <f>IFERROR(__xludf.DUMMYFUNCTION("""COMPUTED_VALUE"""),0.0)</f>
        <v>0</v>
      </c>
    </row>
    <row r="119" ht="37.5" customHeight="1">
      <c r="B119" s="25">
        <v>11.0</v>
      </c>
      <c r="C119" s="49"/>
      <c r="D119" s="50"/>
      <c r="E119" s="51"/>
      <c r="F119" s="52">
        <f>IFERROR(__xludf.DUMMYFUNCTION("""COMPUTED_VALUE"""),0.0)</f>
        <v>0</v>
      </c>
      <c r="G119" s="45"/>
      <c r="H119" s="31">
        <f t="shared" si="31"/>
        <v>0</v>
      </c>
      <c r="I119" s="31">
        <f t="shared" si="32"/>
        <v>0</v>
      </c>
      <c r="J119" s="32" t="str">
        <f t="shared" si="33"/>
        <v/>
      </c>
      <c r="K119" s="32"/>
      <c r="L119" s="33">
        <f t="shared" si="34"/>
        <v>0</v>
      </c>
      <c r="M119" s="32"/>
      <c r="N119" s="32"/>
      <c r="O119" s="34">
        <f t="shared" si="35"/>
        <v>0</v>
      </c>
      <c r="P119" s="44"/>
      <c r="Q119" s="44"/>
      <c r="R119" s="37">
        <f t="shared" si="36"/>
        <v>0</v>
      </c>
      <c r="S119" s="38">
        <f t="shared" si="37"/>
        <v>0</v>
      </c>
      <c r="T119" s="39"/>
      <c r="U119" s="42">
        <f>IFERROR(__xludf.DUMMYFUNCTION("""COMPUTED_VALUE"""),0.0)</f>
        <v>0</v>
      </c>
    </row>
    <row r="120" ht="37.5" customHeight="1">
      <c r="B120" s="25">
        <v>12.0</v>
      </c>
      <c r="C120" s="49"/>
      <c r="D120" s="50"/>
      <c r="E120" s="51"/>
      <c r="F120" s="52">
        <f>IFERROR(__xludf.DUMMYFUNCTION("""COMPUTED_VALUE"""),0.0)</f>
        <v>0</v>
      </c>
      <c r="G120" s="45"/>
      <c r="H120" s="31">
        <f t="shared" si="31"/>
        <v>0</v>
      </c>
      <c r="I120" s="31">
        <f t="shared" si="32"/>
        <v>0</v>
      </c>
      <c r="J120" s="32" t="str">
        <f t="shared" si="33"/>
        <v/>
      </c>
      <c r="K120" s="32"/>
      <c r="L120" s="33">
        <f t="shared" si="34"/>
        <v>0</v>
      </c>
      <c r="M120" s="32"/>
      <c r="N120" s="32"/>
      <c r="O120" s="34">
        <f t="shared" si="35"/>
        <v>0</v>
      </c>
      <c r="P120" s="44"/>
      <c r="Q120" s="44"/>
      <c r="R120" s="37">
        <f t="shared" si="36"/>
        <v>0</v>
      </c>
      <c r="S120" s="38">
        <f t="shared" si="37"/>
        <v>0</v>
      </c>
      <c r="T120" s="39"/>
      <c r="U120" s="42">
        <f>IFERROR(__xludf.DUMMYFUNCTION("""COMPUTED_VALUE"""),0.0)</f>
        <v>0</v>
      </c>
    </row>
    <row r="121" ht="37.5" customHeight="1">
      <c r="B121" s="25">
        <v>13.0</v>
      </c>
      <c r="C121" s="49"/>
      <c r="D121" s="50"/>
      <c r="E121" s="51"/>
      <c r="F121" s="52">
        <f>IFERROR(__xludf.DUMMYFUNCTION("""COMPUTED_VALUE"""),0.0)</f>
        <v>0</v>
      </c>
      <c r="G121" s="45"/>
      <c r="H121" s="31">
        <f t="shared" si="31"/>
        <v>0</v>
      </c>
      <c r="I121" s="31">
        <f t="shared" si="32"/>
        <v>0</v>
      </c>
      <c r="J121" s="32" t="str">
        <f t="shared" si="33"/>
        <v/>
      </c>
      <c r="K121" s="32"/>
      <c r="L121" s="33">
        <f t="shared" si="34"/>
        <v>0</v>
      </c>
      <c r="M121" s="32"/>
      <c r="N121" s="32"/>
      <c r="O121" s="34">
        <f t="shared" si="35"/>
        <v>0</v>
      </c>
      <c r="P121" s="44"/>
      <c r="Q121" s="44"/>
      <c r="R121" s="37">
        <f t="shared" si="36"/>
        <v>0</v>
      </c>
      <c r="S121" s="38">
        <f t="shared" si="37"/>
        <v>0</v>
      </c>
      <c r="T121" s="39"/>
      <c r="U121" s="42">
        <f>IFERROR(__xludf.DUMMYFUNCTION("""COMPUTED_VALUE"""),0.0)</f>
        <v>0</v>
      </c>
    </row>
    <row r="122" ht="37.5" customHeight="1">
      <c r="B122" s="25">
        <v>14.0</v>
      </c>
      <c r="C122" s="49"/>
      <c r="D122" s="50"/>
      <c r="E122" s="51"/>
      <c r="F122" s="52">
        <f>IFERROR(__xludf.DUMMYFUNCTION("""COMPUTED_VALUE"""),0.0)</f>
        <v>0</v>
      </c>
      <c r="G122" s="45"/>
      <c r="H122" s="31">
        <f t="shared" si="31"/>
        <v>0</v>
      </c>
      <c r="I122" s="31">
        <f t="shared" si="32"/>
        <v>0</v>
      </c>
      <c r="J122" s="32" t="str">
        <f t="shared" si="33"/>
        <v/>
      </c>
      <c r="K122" s="32"/>
      <c r="L122" s="33">
        <f t="shared" si="34"/>
        <v>0</v>
      </c>
      <c r="M122" s="32"/>
      <c r="N122" s="32"/>
      <c r="O122" s="34">
        <f t="shared" si="35"/>
        <v>0</v>
      </c>
      <c r="P122" s="44"/>
      <c r="Q122" s="44"/>
      <c r="R122" s="37">
        <f t="shared" si="36"/>
        <v>0</v>
      </c>
      <c r="S122" s="38">
        <f t="shared" si="37"/>
        <v>0</v>
      </c>
      <c r="T122" s="39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0"/>
      <c r="E123" s="51"/>
      <c r="F123" s="52">
        <f>IFERROR(__xludf.DUMMYFUNCTION("""COMPUTED_VALUE"""),0.0)</f>
        <v>0</v>
      </c>
      <c r="G123" s="45"/>
      <c r="H123" s="31">
        <f t="shared" si="31"/>
        <v>0</v>
      </c>
      <c r="I123" s="31">
        <f t="shared" si="32"/>
        <v>0</v>
      </c>
      <c r="J123" s="32" t="str">
        <f t="shared" si="33"/>
        <v/>
      </c>
      <c r="K123" s="32"/>
      <c r="L123" s="33">
        <f t="shared" si="34"/>
        <v>0</v>
      </c>
      <c r="M123" s="32"/>
      <c r="N123" s="32"/>
      <c r="O123" s="34">
        <f t="shared" si="35"/>
        <v>0</v>
      </c>
      <c r="P123" s="44"/>
      <c r="Q123" s="44"/>
      <c r="R123" s="37">
        <f t="shared" si="36"/>
        <v>0</v>
      </c>
      <c r="S123" s="38">
        <f t="shared" si="37"/>
        <v>0</v>
      </c>
      <c r="T123" s="39"/>
      <c r="U123" s="42">
        <f>IFERROR(__xludf.DUMMYFUNCTION("""COMPUTED_VALUE"""),0.0)</f>
        <v>0</v>
      </c>
    </row>
    <row r="124" ht="37.5" customHeight="1">
      <c r="B124" s="25">
        <v>16.0</v>
      </c>
      <c r="C124" s="49"/>
      <c r="D124" s="50"/>
      <c r="E124" s="51"/>
      <c r="F124" s="52">
        <f>IFERROR(__xludf.DUMMYFUNCTION("""COMPUTED_VALUE"""),0.0)</f>
        <v>0</v>
      </c>
      <c r="G124" s="45"/>
      <c r="H124" s="31">
        <f t="shared" si="31"/>
        <v>0</v>
      </c>
      <c r="I124" s="31">
        <f t="shared" si="32"/>
        <v>0</v>
      </c>
      <c r="J124" s="32" t="str">
        <f t="shared" si="33"/>
        <v/>
      </c>
      <c r="K124" s="32"/>
      <c r="L124" s="33">
        <f t="shared" si="34"/>
        <v>0</v>
      </c>
      <c r="M124" s="32"/>
      <c r="N124" s="32"/>
      <c r="O124" s="34">
        <f t="shared" si="35"/>
        <v>0</v>
      </c>
      <c r="P124" s="44"/>
      <c r="Q124" s="44"/>
      <c r="R124" s="37">
        <f t="shared" si="36"/>
        <v>0</v>
      </c>
      <c r="S124" s="38">
        <f t="shared" si="37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49"/>
      <c r="D125" s="50"/>
      <c r="E125" s="51"/>
      <c r="F125" s="52">
        <f>IFERROR(__xludf.DUMMYFUNCTION("""COMPUTED_VALUE"""),0.0)</f>
        <v>0</v>
      </c>
      <c r="G125" s="45"/>
      <c r="H125" s="31">
        <f t="shared" si="31"/>
        <v>0</v>
      </c>
      <c r="I125" s="31">
        <f t="shared" si="32"/>
        <v>0</v>
      </c>
      <c r="J125" s="32" t="str">
        <f t="shared" si="33"/>
        <v/>
      </c>
      <c r="K125" s="32"/>
      <c r="L125" s="33">
        <f t="shared" si="34"/>
        <v>0</v>
      </c>
      <c r="M125" s="32"/>
      <c r="N125" s="32"/>
      <c r="O125" s="34">
        <f t="shared" si="35"/>
        <v>0</v>
      </c>
      <c r="P125" s="44"/>
      <c r="Q125" s="44"/>
      <c r="R125" s="37">
        <f t="shared" si="36"/>
        <v>0</v>
      </c>
      <c r="S125" s="38">
        <f t="shared" si="37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1"/>
        <v>0</v>
      </c>
      <c r="I126" s="31">
        <f t="shared" si="32"/>
        <v>0</v>
      </c>
      <c r="J126" s="32" t="str">
        <f t="shared" si="33"/>
        <v/>
      </c>
      <c r="K126" s="32"/>
      <c r="L126" s="33">
        <f t="shared" si="34"/>
        <v>0</v>
      </c>
      <c r="M126" s="32"/>
      <c r="N126" s="32"/>
      <c r="O126" s="34">
        <f t="shared" si="35"/>
        <v>0</v>
      </c>
      <c r="P126" s="44"/>
      <c r="Q126" s="44"/>
      <c r="R126" s="37">
        <f t="shared" si="36"/>
        <v>0</v>
      </c>
      <c r="S126" s="38">
        <f t="shared" si="37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1"/>
        <v>0</v>
      </c>
      <c r="I127" s="31">
        <f t="shared" si="32"/>
        <v>0</v>
      </c>
      <c r="J127" s="32" t="str">
        <f t="shared" si="33"/>
        <v/>
      </c>
      <c r="K127" s="32"/>
      <c r="L127" s="33">
        <f t="shared" si="34"/>
        <v>0</v>
      </c>
      <c r="M127" s="32"/>
      <c r="N127" s="32"/>
      <c r="O127" s="34">
        <f t="shared" si="35"/>
        <v>0</v>
      </c>
      <c r="P127" s="44"/>
      <c r="Q127" s="44"/>
      <c r="R127" s="37">
        <f t="shared" si="36"/>
        <v>0</v>
      </c>
      <c r="S127" s="38">
        <f t="shared" si="37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1"/>
        <v>0</v>
      </c>
      <c r="I128" s="31">
        <f t="shared" si="32"/>
        <v>0</v>
      </c>
      <c r="J128" s="32" t="str">
        <f t="shared" si="33"/>
        <v/>
      </c>
      <c r="K128" s="32"/>
      <c r="L128" s="33">
        <f t="shared" si="34"/>
        <v>0</v>
      </c>
      <c r="M128" s="32"/>
      <c r="N128" s="32"/>
      <c r="O128" s="34">
        <f t="shared" si="35"/>
        <v>0</v>
      </c>
      <c r="P128" s="44"/>
      <c r="Q128" s="44"/>
      <c r="R128" s="37">
        <f t="shared" si="36"/>
        <v>0</v>
      </c>
      <c r="S128" s="38">
        <f t="shared" si="37"/>
        <v>0</v>
      </c>
      <c r="T128" s="51"/>
      <c r="U128" s="42">
        <f>IFERROR(__xludf.DUMMYFUNCTION("""COMPUTED_VALUE"""),0.0)</f>
        <v>0</v>
      </c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1"/>
        <v>0</v>
      </c>
      <c r="I129" s="31">
        <f t="shared" si="32"/>
        <v>0</v>
      </c>
      <c r="J129" s="32" t="str">
        <f t="shared" si="33"/>
        <v/>
      </c>
      <c r="K129" s="32"/>
      <c r="L129" s="33">
        <f t="shared" si="34"/>
        <v>0</v>
      </c>
      <c r="M129" s="32"/>
      <c r="N129" s="32"/>
      <c r="O129" s="34">
        <f t="shared" si="35"/>
        <v>0</v>
      </c>
      <c r="P129" s="44"/>
      <c r="Q129" s="44"/>
      <c r="R129" s="37">
        <f t="shared" si="36"/>
        <v>0</v>
      </c>
      <c r="S129" s="38">
        <f t="shared" si="37"/>
        <v>0</v>
      </c>
      <c r="T129" s="51"/>
      <c r="U129" s="42"/>
    </row>
    <row r="130" ht="37.5" customHeight="1">
      <c r="B130" s="25">
        <v>22.0</v>
      </c>
      <c r="C130" s="49"/>
      <c r="D130" s="51"/>
      <c r="E130" s="51"/>
      <c r="F130" s="42"/>
      <c r="G130" s="53"/>
      <c r="H130" s="31">
        <f t="shared" si="31"/>
        <v>0</v>
      </c>
      <c r="I130" s="31">
        <f t="shared" si="32"/>
        <v>0</v>
      </c>
      <c r="J130" s="32" t="str">
        <f t="shared" si="33"/>
        <v/>
      </c>
      <c r="K130" s="32"/>
      <c r="L130" s="33">
        <f t="shared" si="34"/>
        <v>0</v>
      </c>
      <c r="M130" s="32"/>
      <c r="N130" s="32"/>
      <c r="O130" s="34">
        <f t="shared" si="35"/>
        <v>0</v>
      </c>
      <c r="P130" s="44"/>
      <c r="Q130" s="44"/>
      <c r="R130" s="37">
        <f t="shared" si="36"/>
        <v>0</v>
      </c>
      <c r="S130" s="38">
        <f t="shared" si="37"/>
        <v>0</v>
      </c>
      <c r="T130" s="51"/>
      <c r="U130" s="42"/>
    </row>
    <row r="131">
      <c r="B131" s="54"/>
      <c r="F131" s="55" t="s">
        <v>21</v>
      </c>
      <c r="S131" s="56">
        <f>SUM(S109:S130)</f>
        <v>1280000</v>
      </c>
      <c r="T131" s="57"/>
      <c r="U131" s="58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>
      <c r="B133" s="67" t="s">
        <v>21</v>
      </c>
      <c r="F133" s="68">
        <f>S31+S56+S81+S106+S131</f>
        <v>17070000</v>
      </c>
      <c r="T133" s="69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IFERROR(__xludf.DUMMYFUNCTION("IMPORTRANGE(""https://docs.google.com/spreadsheets/d/17TnzcKnlaqlAyM_3lnNpgK5CAOPbscCCRVH50X8UulY/edit?usp=sharing"",""JULI!B2"")"),46204.0)</f>
        <v>46204</v>
      </c>
      <c r="C2" s="2"/>
      <c r="D2" s="2"/>
      <c r="E2" s="3"/>
      <c r="F2" s="126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29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129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IFERROR(__xludf.DUMMYFUNCTION("IMPORTRANGE(""https://docs.google.com/spreadsheets/d/1Aud93BfAdhkWf584eKi6yqKFYhpUXTj-qoDfXlGtG84/edit?usp=sharing"",""JULI!B6"")"),"TANGGAL : 1-4 JULI 2026")</f>
        <v>TANGGAL : 1-4 JULI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IFERROR(__xludf.DUMMYFUNCTION("IMPORTRANGE(""https://docs.google.com/spreadsheets/d/17TnzcKnlaqlAyM_3lnNpgK5CAOPbscCCRVH50X8UulY/edit?usp=sharing"",""JULI!B7:D26"")"),"EPUL")</f>
        <v>EPUL</v>
      </c>
      <c r="D9" s="27" t="str">
        <f>IFERROR(__xludf.DUMMYFUNCTION("""COMPUTED_VALUE"""),"KEPALA")</f>
        <v>KEPALA</v>
      </c>
      <c r="E9" s="28"/>
      <c r="F9" s="52">
        <f>IFERROR(__xludf.DUMMYFUNCTION("IMPORTRANGE(""https://docs.google.com/spreadsheets/d/17TnzcKnlaqlAyM_3lnNpgK5CAOPbscCCRVH50X8UulY/edit?usp=sharing"",""JULI!K7:K25"")"),6.0)</f>
        <v>6</v>
      </c>
      <c r="G9" s="130">
        <v>110000.0</v>
      </c>
      <c r="H9" s="31">
        <f t="shared" ref="H9:H30" si="1">F9*G9</f>
        <v>660000</v>
      </c>
      <c r="I9" s="31">
        <f t="shared" ref="I9:I30" si="2">F9*10000</f>
        <v>60000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720000</v>
      </c>
      <c r="P9" s="36"/>
      <c r="Q9" s="36"/>
      <c r="R9" s="37">
        <f t="shared" ref="R9:R30" si="6">SUM(P9:Q9)</f>
        <v>0</v>
      </c>
      <c r="S9" s="38">
        <f t="shared" ref="S9:S30" si="7">O9-R9</f>
        <v>720000</v>
      </c>
      <c r="T9" s="39" t="str">
        <f>IFERROR(__xludf.DUMMYFUNCTION("IMPORTRANGE(""https://docs.google.com/spreadsheets/d/17TnzcKnlaqlAyM_3lnNpgK5CAOPbscCCRVH50X8UulY/edit?usp=sharing"",""JULI!L7:L26"")"),"")</f>
        <v/>
      </c>
      <c r="U9" s="42">
        <f>IFERROR(__xludf.DUMMYFUNCTION("IMPORTRANGE(""https://docs.google.com/spreadsheets/d/17TnzcKnlaqlAyM_3lnNpgK5CAOPbscCCRVH50X8UulY/edit?usp=sharing"",""JULI!U7:U26"")"),0.0)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/>
      <c r="F10" s="52">
        <f>IFERROR(__xludf.DUMMYFUNCTION("""COMPUTED_VALUE"""),6.0)</f>
        <v>6</v>
      </c>
      <c r="G10" s="130">
        <v>70000.0</v>
      </c>
      <c r="H10" s="31">
        <f t="shared" si="1"/>
        <v>420000</v>
      </c>
      <c r="I10" s="31">
        <f t="shared" si="2"/>
        <v>60000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480000</v>
      </c>
      <c r="P10" s="36"/>
      <c r="Q10" s="36"/>
      <c r="R10" s="37">
        <f t="shared" si="6"/>
        <v>0</v>
      </c>
      <c r="S10" s="38">
        <f t="shared" si="7"/>
        <v>480000</v>
      </c>
      <c r="T10" s="3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 t="str">
        <f>IFERROR(__xludf.DUMMYFUNCTION("""COMPUTED_VALUE"""),"KHRYSSAN")</f>
        <v>KHRYSSAN</v>
      </c>
      <c r="D11" s="27" t="str">
        <f>IFERROR(__xludf.DUMMYFUNCTION("""COMPUTED_VALUE"""),"ADMIN")</f>
        <v>ADMIN</v>
      </c>
      <c r="E11" s="28"/>
      <c r="F11" s="52">
        <f>IFERROR(__xludf.DUMMYFUNCTION("""COMPUTED_VALUE"""),6.0)</f>
        <v>6</v>
      </c>
      <c r="G11" s="130">
        <v>70000.0</v>
      </c>
      <c r="H11" s="31">
        <f t="shared" si="1"/>
        <v>420000</v>
      </c>
      <c r="I11" s="31">
        <f t="shared" si="2"/>
        <v>60000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480000</v>
      </c>
      <c r="P11" s="36"/>
      <c r="Q11" s="36"/>
      <c r="R11" s="37">
        <f t="shared" si="6"/>
        <v>0</v>
      </c>
      <c r="S11" s="38">
        <f t="shared" si="7"/>
        <v>480000</v>
      </c>
      <c r="T11" s="3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IFERROR(__xludf.DUMMYFUNCTION("""COMPUTED_VALUE"""),"ANDRI")</f>
        <v>ANDRI</v>
      </c>
      <c r="D12" s="27" t="str">
        <f>IFERROR(__xludf.DUMMYFUNCTION("""COMPUTED_VALUE"""),"DESIGN BORDIR")</f>
        <v>DESIGN BORDIR</v>
      </c>
      <c r="E12" s="28"/>
      <c r="F12" s="52">
        <f>IFERROR(__xludf.DUMMYFUNCTION("""COMPUTED_VALUE"""),1.0)</f>
        <v>1</v>
      </c>
      <c r="G12" s="130">
        <v>70000.0</v>
      </c>
      <c r="H12" s="31">
        <f t="shared" si="1"/>
        <v>70000</v>
      </c>
      <c r="I12" s="31">
        <f t="shared" si="2"/>
        <v>10000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80000</v>
      </c>
      <c r="P12" s="36"/>
      <c r="Q12" s="36"/>
      <c r="R12" s="37">
        <f t="shared" si="6"/>
        <v>0</v>
      </c>
      <c r="S12" s="38">
        <f t="shared" si="7"/>
        <v>80000</v>
      </c>
      <c r="T12" s="39"/>
      <c r="U12" s="42">
        <f>IFERROR(__xludf.DUMMYFUNCTION("""COMPUTED_VALUE"""),0.0)</f>
        <v>0</v>
      </c>
      <c r="V12" s="134"/>
      <c r="W12" s="24"/>
    </row>
    <row r="13" ht="37.5" customHeight="1">
      <c r="A13" s="24"/>
      <c r="B13" s="25">
        <v>5.0</v>
      </c>
      <c r="C13" s="26" t="str">
        <f>IFERROR(__xludf.DUMMYFUNCTION("""COMPUTED_VALUE"""),"ADIT")</f>
        <v>ADIT</v>
      </c>
      <c r="D13" s="27" t="str">
        <f>IFERROR(__xludf.DUMMYFUNCTION("""COMPUTED_VALUE"""),"CREATOR")</f>
        <v>CREATOR</v>
      </c>
      <c r="E13" s="28"/>
      <c r="F13" s="52">
        <f>IFERROR(__xludf.DUMMYFUNCTION("""COMPUTED_VALUE"""),0.0)</f>
        <v>0</v>
      </c>
      <c r="G13" s="130">
        <v>50000.0</v>
      </c>
      <c r="H13" s="31">
        <f t="shared" si="1"/>
        <v>0</v>
      </c>
      <c r="I13" s="31">
        <f t="shared" si="2"/>
        <v>0</v>
      </c>
      <c r="J13" s="32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0</v>
      </c>
      <c r="P13" s="36"/>
      <c r="Q13" s="36"/>
      <c r="R13" s="37">
        <f t="shared" si="6"/>
        <v>0</v>
      </c>
      <c r="S13" s="38">
        <f t="shared" si="7"/>
        <v>0</v>
      </c>
      <c r="T13" s="39"/>
      <c r="U13" s="42">
        <f>IFERROR(__xludf.DUMMYFUNCTION("""COMPUTED_VALUE"""),0.0)</f>
        <v>0</v>
      </c>
      <c r="V13" s="134"/>
      <c r="W13" s="24"/>
    </row>
    <row r="14" ht="37.5" customHeight="1">
      <c r="A14" s="24"/>
      <c r="B14" s="25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/>
      <c r="F14" s="52">
        <f>IFERROR(__xludf.DUMMYFUNCTION("""COMPUTED_VALUE"""),6.0)</f>
        <v>6</v>
      </c>
      <c r="G14" s="130">
        <v>70000.0</v>
      </c>
      <c r="H14" s="31">
        <f t="shared" si="1"/>
        <v>420000</v>
      </c>
      <c r="I14" s="31">
        <f t="shared" si="2"/>
        <v>60000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480000</v>
      </c>
      <c r="P14" s="35">
        <v>100000.0</v>
      </c>
      <c r="Q14" s="36"/>
      <c r="R14" s="37">
        <f t="shared" si="6"/>
        <v>100000</v>
      </c>
      <c r="S14" s="38">
        <f t="shared" si="7"/>
        <v>380000</v>
      </c>
      <c r="T14" s="39"/>
      <c r="U14" s="42">
        <f>IFERROR(__xludf.DUMMYFUNCTION("""COMPUTED_VALUE"""),0.0)</f>
        <v>0</v>
      </c>
      <c r="V14" s="135"/>
      <c r="W14" s="24"/>
    </row>
    <row r="15" ht="37.5" customHeight="1">
      <c r="A15" s="24"/>
      <c r="B15" s="25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/>
      <c r="F15" s="52">
        <f>IFERROR(__xludf.DUMMYFUNCTION("""COMPUTED_VALUE"""),6.0)</f>
        <v>6</v>
      </c>
      <c r="G15" s="130">
        <v>70000.0</v>
      </c>
      <c r="H15" s="31">
        <f t="shared" si="1"/>
        <v>420000</v>
      </c>
      <c r="I15" s="31">
        <f t="shared" si="2"/>
        <v>60000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480000</v>
      </c>
      <c r="P15" s="36"/>
      <c r="Q15" s="36"/>
      <c r="R15" s="37">
        <f t="shared" si="6"/>
        <v>0</v>
      </c>
      <c r="S15" s="38">
        <f t="shared" si="7"/>
        <v>480000</v>
      </c>
      <c r="T15" s="39"/>
      <c r="U15" s="42">
        <f>IFERROR(__xludf.DUMMYFUNCTION("""COMPUTED_VALUE"""),0.0)</f>
        <v>0</v>
      </c>
      <c r="V15" s="135"/>
      <c r="W15" s="24"/>
    </row>
    <row r="16" ht="37.5" customHeight="1">
      <c r="A16" s="24"/>
      <c r="B16" s="25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/>
      <c r="F16" s="52">
        <f>IFERROR(__xludf.DUMMYFUNCTION("""COMPUTED_VALUE"""),6.0)</f>
        <v>6</v>
      </c>
      <c r="G16" s="130">
        <v>50000.0</v>
      </c>
      <c r="H16" s="31">
        <f t="shared" si="1"/>
        <v>300000</v>
      </c>
      <c r="I16" s="31">
        <f t="shared" si="2"/>
        <v>60000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360000</v>
      </c>
      <c r="P16" s="36"/>
      <c r="Q16" s="36"/>
      <c r="R16" s="37">
        <f t="shared" si="6"/>
        <v>0</v>
      </c>
      <c r="S16" s="38">
        <f t="shared" si="7"/>
        <v>360000</v>
      </c>
      <c r="T16" s="39"/>
      <c r="U16" s="42">
        <f>IFERROR(__xludf.DUMMYFUNCTION("""COMPUTED_VALUE"""),0.0)</f>
        <v>0</v>
      </c>
      <c r="V16" s="134"/>
      <c r="W16" s="24"/>
    </row>
    <row r="17" ht="37.5" customHeight="1">
      <c r="A17" s="24"/>
      <c r="B17" s="25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28"/>
      <c r="F17" s="52">
        <f>IFERROR(__xludf.DUMMYFUNCTION("""COMPUTED_VALUE"""),6.0)</f>
        <v>6</v>
      </c>
      <c r="G17" s="130">
        <v>50000.0</v>
      </c>
      <c r="H17" s="31">
        <f t="shared" si="1"/>
        <v>300000</v>
      </c>
      <c r="I17" s="31">
        <f t="shared" si="2"/>
        <v>60000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360000</v>
      </c>
      <c r="P17" s="36"/>
      <c r="Q17" s="36"/>
      <c r="R17" s="37">
        <f t="shared" si="6"/>
        <v>0</v>
      </c>
      <c r="S17" s="38">
        <f t="shared" si="7"/>
        <v>360000</v>
      </c>
      <c r="T17" s="39"/>
      <c r="U17" s="42">
        <f>IFERROR(__xludf.DUMMYFUNCTION("""COMPUTED_VALUE"""),0.0)</f>
        <v>0</v>
      </c>
      <c r="V17" s="134"/>
      <c r="W17" s="24"/>
    </row>
    <row r="18" ht="37.5" customHeight="1">
      <c r="A18" s="24"/>
      <c r="B18" s="25">
        <v>10.0</v>
      </c>
      <c r="C18" s="26" t="str">
        <f>IFERROR(__xludf.DUMMYFUNCTION("""COMPUTED_VALUE"""),"IIS")</f>
        <v>IIS</v>
      </c>
      <c r="D18" s="27" t="str">
        <f>IFERROR(__xludf.DUMMYFUNCTION("""COMPUTED_VALUE"""),"PACKING")</f>
        <v>PACKING</v>
      </c>
      <c r="E18" s="51"/>
      <c r="F18" s="52">
        <f>IFERROR(__xludf.DUMMYFUNCTION("""COMPUTED_VALUE"""),6.0)</f>
        <v>6</v>
      </c>
      <c r="G18" s="130">
        <v>70000.0</v>
      </c>
      <c r="H18" s="31">
        <f t="shared" si="1"/>
        <v>420000</v>
      </c>
      <c r="I18" s="31">
        <f t="shared" si="2"/>
        <v>60000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480000</v>
      </c>
      <c r="P18" s="36"/>
      <c r="Q18" s="36"/>
      <c r="R18" s="37">
        <f t="shared" si="6"/>
        <v>0</v>
      </c>
      <c r="S18" s="38">
        <f t="shared" si="7"/>
        <v>480000</v>
      </c>
      <c r="T18" s="39"/>
      <c r="U18" s="42">
        <f>IFERROR(__xludf.DUMMYFUNCTION("""COMPUTED_VALUE"""),0.0)</f>
        <v>0</v>
      </c>
      <c r="V18" s="13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36"/>
      <c r="Q19" s="36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134"/>
      <c r="W19" s="24"/>
    </row>
    <row r="20" ht="37.5" customHeight="1">
      <c r="A20" s="24"/>
      <c r="B20" s="25">
        <v>12.0</v>
      </c>
      <c r="C20" s="49"/>
      <c r="D20" s="50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36"/>
      <c r="Q20" s="36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13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 t="str">
        <f t="shared" ref="J21:J22" si="8">IF(E21="SHIFT 2",I21,"")</f>
        <v/>
      </c>
      <c r="K21" s="32"/>
      <c r="L21" s="33">
        <f t="shared" si="4"/>
        <v>0</v>
      </c>
      <c r="M21" s="32"/>
      <c r="N21" s="32"/>
      <c r="O21" s="34">
        <f t="shared" si="5"/>
        <v>0</v>
      </c>
      <c r="P21" s="36"/>
      <c r="Q21" s="36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13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 t="shared" si="8"/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44"/>
      <c r="Q22" s="44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13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13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136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9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136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9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136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9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9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9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9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B31" s="54"/>
      <c r="F31" s="55" t="s">
        <v>21</v>
      </c>
      <c r="S31" s="56">
        <f>SUM(S9:S30)</f>
        <v>3820000</v>
      </c>
      <c r="T31" s="57"/>
      <c r="U31" s="58"/>
    </row>
    <row r="32" ht="37.5" customHeight="1"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ht="37.5" customHeight="1">
      <c r="A33" s="24"/>
      <c r="B33" s="21" t="str">
        <f>IFERROR(__xludf.DUMMYFUNCTION("IMPORTRANGE(""https://docs.google.com/spreadsheets/d/17TnzcKnlaqlAyM_3lnNpgK5CAOPbscCCRVH50X8UulY/edit?usp=sharing"",""JULI!B28"")"),"TANGGAL : 6-11 JULI 2026")</f>
        <v>TANGGAL : 6-11 JULI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IFERROR(__xludf.DUMMYFUNCTION("IMPORTRANGE(""https://docs.google.com/spreadsheets/d/17TnzcKnlaqlAyM_3lnNpgK5CAOPbscCCRVH50X8UulY/edit?usp=sharing"",""JULI!B29:D48"")"),"EPUL")</f>
        <v>EPUL</v>
      </c>
      <c r="D34" s="27" t="str">
        <f>IFERROR(__xludf.DUMMYFUNCTION("""COMPUTED_VALUE"""),"KEPALA")</f>
        <v>KEPALA</v>
      </c>
      <c r="E34" s="28"/>
      <c r="F34" s="52">
        <f>IFERROR(__xludf.DUMMYFUNCTION("IMPORTRANGE(""https://docs.google.com/spreadsheets/d/17TnzcKnlaqlAyM_3lnNpgK5CAOPbscCCRVH50X8UulY/edit?usp=sharing"",""JULI!K29:K47"")"),2.0)</f>
        <v>2</v>
      </c>
      <c r="G34" s="130">
        <v>110000.0</v>
      </c>
      <c r="H34" s="31">
        <f t="shared" ref="H34:H55" si="10">F34*G34</f>
        <v>220000</v>
      </c>
      <c r="I34" s="31">
        <f t="shared" ref="I34:I55" si="11">F34*10000</f>
        <v>20000</v>
      </c>
      <c r="J34" s="32" t="str">
        <f t="shared" ref="J34:J55" si="12">IF(E34="SHIFT 2",I34,"")</f>
        <v/>
      </c>
      <c r="K34" s="32"/>
      <c r="L34" s="33">
        <f t="shared" ref="L34:L55" si="13">U34*$L$33</f>
        <v>0</v>
      </c>
      <c r="M34" s="32"/>
      <c r="N34" s="32"/>
      <c r="O34" s="34">
        <f t="shared" ref="O34:O55" si="14">SUM(H34:N34)</f>
        <v>240000</v>
      </c>
      <c r="P34" s="36"/>
      <c r="Q34" s="36"/>
      <c r="R34" s="37">
        <f t="shared" ref="R34:R55" si="15">SUM(P34:Q34)</f>
        <v>0</v>
      </c>
      <c r="S34" s="38">
        <f t="shared" ref="S34:S55" si="16">O34-R34</f>
        <v>240000</v>
      </c>
      <c r="T34" s="39" t="str">
        <f>IFERROR(__xludf.DUMMYFUNCTION("IMPORTRANGE(""https://docs.google.com/spreadsheets/d/17TnzcKnlaqlAyM_3lnNpgK5CAOPbscCCRVH50X8UulY/edit?usp=sharing"",""JULI!L29:L48"")"),"")</f>
        <v/>
      </c>
      <c r="U34" s="42">
        <f>IFERROR(__xludf.DUMMYFUNCTION("IMPORTRANGE(""https://docs.google.com/spreadsheets/d/17TnzcKnlaqlAyM_3lnNpgK5CAOPbscCCRVH50X8UulY/edit?usp=sharing"",""JULI!U29:U48"")"),0.0)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/>
      <c r="F35" s="52">
        <f>IFERROR(__xludf.DUMMYFUNCTION("""COMPUTED_VALUE"""),3.0)</f>
        <v>3</v>
      </c>
      <c r="G35" s="130">
        <v>70000.0</v>
      </c>
      <c r="H35" s="31">
        <f t="shared" si="10"/>
        <v>210000</v>
      </c>
      <c r="I35" s="31">
        <f t="shared" si="11"/>
        <v>30000</v>
      </c>
      <c r="J35" s="32" t="str">
        <f t="shared" si="12"/>
        <v/>
      </c>
      <c r="K35" s="41"/>
      <c r="L35" s="33">
        <f t="shared" si="13"/>
        <v>0</v>
      </c>
      <c r="M35" s="41"/>
      <c r="N35" s="41"/>
      <c r="O35" s="34">
        <f t="shared" si="14"/>
        <v>240000</v>
      </c>
      <c r="P35" s="35"/>
      <c r="Q35" s="36"/>
      <c r="R35" s="37">
        <f t="shared" si="15"/>
        <v>0</v>
      </c>
      <c r="S35" s="38">
        <f t="shared" si="16"/>
        <v>240000</v>
      </c>
      <c r="T35" s="39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 t="str">
        <f>IFERROR(__xludf.DUMMYFUNCTION("""COMPUTED_VALUE"""),"KHRYSSAN")</f>
        <v>KHRYSSAN</v>
      </c>
      <c r="D36" s="27" t="str">
        <f>IFERROR(__xludf.DUMMYFUNCTION("""COMPUTED_VALUE"""),"ADMIN")</f>
        <v>ADMIN</v>
      </c>
      <c r="E36" s="28"/>
      <c r="F36" s="52">
        <f>IFERROR(__xludf.DUMMYFUNCTION("""COMPUTED_VALUE"""),3.0)</f>
        <v>3</v>
      </c>
      <c r="G36" s="130">
        <v>70000.0</v>
      </c>
      <c r="H36" s="31">
        <f t="shared" si="10"/>
        <v>210000</v>
      </c>
      <c r="I36" s="31">
        <f t="shared" si="11"/>
        <v>30000</v>
      </c>
      <c r="J36" s="32" t="str">
        <f t="shared" si="12"/>
        <v/>
      </c>
      <c r="K36" s="41"/>
      <c r="L36" s="33">
        <f t="shared" si="13"/>
        <v>0</v>
      </c>
      <c r="M36" s="41"/>
      <c r="N36" s="41"/>
      <c r="O36" s="34">
        <f t="shared" si="14"/>
        <v>240000</v>
      </c>
      <c r="P36" s="35"/>
      <c r="Q36" s="36"/>
      <c r="R36" s="37">
        <f t="shared" si="15"/>
        <v>0</v>
      </c>
      <c r="S36" s="38">
        <f t="shared" si="16"/>
        <v>240000</v>
      </c>
      <c r="T36" s="39"/>
      <c r="U36" s="42">
        <f>IFERROR(__xludf.DUMMYFUNCTION("""COMPUTED_VALUE"""),0.0)</f>
        <v>0</v>
      </c>
      <c r="V36" s="24"/>
      <c r="W36" s="24"/>
    </row>
    <row r="37" ht="37.5" customHeight="1">
      <c r="A37" s="24"/>
      <c r="B37" s="25">
        <v>4.0</v>
      </c>
      <c r="C37" s="26" t="str">
        <f>IFERROR(__xludf.DUMMYFUNCTION("""COMPUTED_VALUE"""),"ANDRI")</f>
        <v>ANDRI</v>
      </c>
      <c r="D37" s="27" t="str">
        <f>IFERROR(__xludf.DUMMYFUNCTION("""COMPUTED_VALUE"""),"DESIGN BORDIR")</f>
        <v>DESIGN BORDIR</v>
      </c>
      <c r="E37" s="28"/>
      <c r="F37" s="52">
        <f>IFERROR(__xludf.DUMMYFUNCTION("""COMPUTED_VALUE"""),3.0)</f>
        <v>3</v>
      </c>
      <c r="G37" s="130">
        <v>70000.0</v>
      </c>
      <c r="H37" s="31">
        <f t="shared" si="10"/>
        <v>210000</v>
      </c>
      <c r="I37" s="31">
        <f t="shared" si="11"/>
        <v>30000</v>
      </c>
      <c r="J37" s="32" t="str">
        <f t="shared" si="12"/>
        <v/>
      </c>
      <c r="K37" s="32"/>
      <c r="L37" s="33">
        <f t="shared" si="13"/>
        <v>0</v>
      </c>
      <c r="M37" s="32"/>
      <c r="N37" s="32"/>
      <c r="O37" s="34">
        <f t="shared" si="14"/>
        <v>240000</v>
      </c>
      <c r="P37" s="36"/>
      <c r="Q37" s="36"/>
      <c r="R37" s="37">
        <f t="shared" si="15"/>
        <v>0</v>
      </c>
      <c r="S37" s="38">
        <f t="shared" si="16"/>
        <v>240000</v>
      </c>
      <c r="T37" s="39"/>
      <c r="U37" s="42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6" t="str">
        <f>IFERROR(__xludf.DUMMYFUNCTION("""COMPUTED_VALUE"""),"ADIT")</f>
        <v>ADIT</v>
      </c>
      <c r="D38" s="27" t="str">
        <f>IFERROR(__xludf.DUMMYFUNCTION("""COMPUTED_VALUE"""),"CREATOR")</f>
        <v>CREATOR</v>
      </c>
      <c r="E38" s="28"/>
      <c r="F38" s="52">
        <f>IFERROR(__xludf.DUMMYFUNCTION("""COMPUTED_VALUE"""),3.0)</f>
        <v>3</v>
      </c>
      <c r="G38" s="130">
        <v>50000.0</v>
      </c>
      <c r="H38" s="31">
        <f t="shared" si="10"/>
        <v>150000</v>
      </c>
      <c r="I38" s="31">
        <f t="shared" si="11"/>
        <v>30000</v>
      </c>
      <c r="J38" s="32" t="str">
        <f t="shared" si="12"/>
        <v/>
      </c>
      <c r="K38" s="32"/>
      <c r="L38" s="33">
        <f t="shared" si="13"/>
        <v>0</v>
      </c>
      <c r="M38" s="32"/>
      <c r="N38" s="32"/>
      <c r="O38" s="34">
        <f t="shared" si="14"/>
        <v>180000</v>
      </c>
      <c r="P38" s="36"/>
      <c r="Q38" s="36"/>
      <c r="R38" s="37">
        <f t="shared" si="15"/>
        <v>0</v>
      </c>
      <c r="S38" s="38">
        <f t="shared" si="16"/>
        <v>180000</v>
      </c>
      <c r="T38" s="39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/>
      <c r="F39" s="52">
        <f>IFERROR(__xludf.DUMMYFUNCTION("""COMPUTED_VALUE"""),3.0)</f>
        <v>3</v>
      </c>
      <c r="G39" s="130">
        <v>70000.0</v>
      </c>
      <c r="H39" s="31">
        <f t="shared" si="10"/>
        <v>210000</v>
      </c>
      <c r="I39" s="31">
        <f t="shared" si="11"/>
        <v>30000</v>
      </c>
      <c r="J39" s="32" t="str">
        <f t="shared" si="12"/>
        <v/>
      </c>
      <c r="K39" s="32"/>
      <c r="L39" s="33">
        <f t="shared" si="13"/>
        <v>0</v>
      </c>
      <c r="M39" s="32"/>
      <c r="N39" s="32"/>
      <c r="O39" s="34">
        <f t="shared" si="14"/>
        <v>240000</v>
      </c>
      <c r="P39" s="36"/>
      <c r="Q39" s="36"/>
      <c r="R39" s="37">
        <f t="shared" si="15"/>
        <v>0</v>
      </c>
      <c r="S39" s="38">
        <f t="shared" si="16"/>
        <v>240000</v>
      </c>
      <c r="T39" s="39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/>
      <c r="F40" s="52">
        <f>IFERROR(__xludf.DUMMYFUNCTION("""COMPUTED_VALUE"""),3.0)</f>
        <v>3</v>
      </c>
      <c r="G40" s="130">
        <v>70000.0</v>
      </c>
      <c r="H40" s="31">
        <f t="shared" si="10"/>
        <v>210000</v>
      </c>
      <c r="I40" s="31">
        <f t="shared" si="11"/>
        <v>30000</v>
      </c>
      <c r="J40" s="32" t="str">
        <f t="shared" si="12"/>
        <v/>
      </c>
      <c r="K40" s="32"/>
      <c r="L40" s="33">
        <f t="shared" si="13"/>
        <v>0</v>
      </c>
      <c r="M40" s="32"/>
      <c r="N40" s="32"/>
      <c r="O40" s="34">
        <f t="shared" si="14"/>
        <v>240000</v>
      </c>
      <c r="P40" s="36"/>
      <c r="Q40" s="36"/>
      <c r="R40" s="37">
        <f t="shared" si="15"/>
        <v>0</v>
      </c>
      <c r="S40" s="38">
        <f t="shared" si="16"/>
        <v>240000</v>
      </c>
      <c r="T40" s="39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/>
      <c r="F41" s="52">
        <f>IFERROR(__xludf.DUMMYFUNCTION("""COMPUTED_VALUE"""),3.0)</f>
        <v>3</v>
      </c>
      <c r="G41" s="130">
        <v>50000.0</v>
      </c>
      <c r="H41" s="31">
        <f t="shared" si="10"/>
        <v>150000</v>
      </c>
      <c r="I41" s="31">
        <f t="shared" si="11"/>
        <v>30000</v>
      </c>
      <c r="J41" s="32" t="str">
        <f t="shared" si="12"/>
        <v/>
      </c>
      <c r="K41" s="32"/>
      <c r="L41" s="33">
        <f t="shared" si="13"/>
        <v>0</v>
      </c>
      <c r="M41" s="32"/>
      <c r="N41" s="32"/>
      <c r="O41" s="34">
        <f t="shared" si="14"/>
        <v>180000</v>
      </c>
      <c r="P41" s="36"/>
      <c r="Q41" s="36"/>
      <c r="R41" s="37">
        <f t="shared" si="15"/>
        <v>0</v>
      </c>
      <c r="S41" s="38">
        <f t="shared" si="16"/>
        <v>180000</v>
      </c>
      <c r="T41" s="39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/>
      <c r="F42" s="52">
        <f>IFERROR(__xludf.DUMMYFUNCTION("""COMPUTED_VALUE"""),3.0)</f>
        <v>3</v>
      </c>
      <c r="G42" s="130">
        <v>50000.0</v>
      </c>
      <c r="H42" s="31">
        <f t="shared" si="10"/>
        <v>150000</v>
      </c>
      <c r="I42" s="31">
        <f t="shared" si="11"/>
        <v>30000</v>
      </c>
      <c r="J42" s="32" t="str">
        <f t="shared" si="12"/>
        <v/>
      </c>
      <c r="K42" s="32"/>
      <c r="L42" s="33">
        <f t="shared" si="13"/>
        <v>0</v>
      </c>
      <c r="M42" s="32"/>
      <c r="N42" s="32"/>
      <c r="O42" s="34">
        <f t="shared" si="14"/>
        <v>180000</v>
      </c>
      <c r="P42" s="44"/>
      <c r="Q42" s="44"/>
      <c r="R42" s="37">
        <f t="shared" si="15"/>
        <v>0</v>
      </c>
      <c r="S42" s="38">
        <f t="shared" si="16"/>
        <v>180000</v>
      </c>
      <c r="T42" s="39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26" t="str">
        <f>IFERROR(__xludf.DUMMYFUNCTION("""COMPUTED_VALUE"""),"IIS")</f>
        <v>IIS</v>
      </c>
      <c r="D43" s="27" t="str">
        <f>IFERROR(__xludf.DUMMYFUNCTION("""COMPUTED_VALUE"""),"PACKING")</f>
        <v>PACKING</v>
      </c>
      <c r="E43" s="51"/>
      <c r="F43" s="52">
        <f>IFERROR(__xludf.DUMMYFUNCTION("""COMPUTED_VALUE"""),3.0)</f>
        <v>3</v>
      </c>
      <c r="G43" s="130">
        <v>70000.0</v>
      </c>
      <c r="H43" s="31">
        <f t="shared" si="10"/>
        <v>210000</v>
      </c>
      <c r="I43" s="31">
        <f t="shared" si="11"/>
        <v>30000</v>
      </c>
      <c r="J43" s="32" t="str">
        <f t="shared" si="12"/>
        <v/>
      </c>
      <c r="K43" s="32"/>
      <c r="L43" s="33">
        <f t="shared" si="13"/>
        <v>0</v>
      </c>
      <c r="M43" s="32"/>
      <c r="N43" s="32"/>
      <c r="O43" s="34">
        <f t="shared" si="14"/>
        <v>240000</v>
      </c>
      <c r="P43" s="44"/>
      <c r="Q43" s="44"/>
      <c r="R43" s="37">
        <f t="shared" si="15"/>
        <v>0</v>
      </c>
      <c r="S43" s="38">
        <f t="shared" si="16"/>
        <v>240000</v>
      </c>
      <c r="T43" s="39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10"/>
        <v>0</v>
      </c>
      <c r="I44" s="31">
        <f t="shared" si="11"/>
        <v>0</v>
      </c>
      <c r="J44" s="32" t="str">
        <f t="shared" si="12"/>
        <v/>
      </c>
      <c r="K44" s="32"/>
      <c r="L44" s="33">
        <f t="shared" si="13"/>
        <v>0</v>
      </c>
      <c r="M44" s="32"/>
      <c r="N44" s="32"/>
      <c r="O44" s="34">
        <f t="shared" si="14"/>
        <v>0</v>
      </c>
      <c r="P44" s="44"/>
      <c r="Q44" s="44"/>
      <c r="R44" s="37">
        <f t="shared" si="15"/>
        <v>0</v>
      </c>
      <c r="S44" s="38">
        <f t="shared" si="16"/>
        <v>0</v>
      </c>
      <c r="T44" s="39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49"/>
      <c r="D45" s="50"/>
      <c r="E45" s="51"/>
      <c r="F45" s="52">
        <f>IFERROR(__xludf.DUMMYFUNCTION("""COMPUTED_VALUE"""),0.0)</f>
        <v>0</v>
      </c>
      <c r="G45" s="45"/>
      <c r="H45" s="31">
        <f t="shared" si="10"/>
        <v>0</v>
      </c>
      <c r="I45" s="31">
        <f t="shared" si="11"/>
        <v>0</v>
      </c>
      <c r="J45" s="32" t="str">
        <f t="shared" si="12"/>
        <v/>
      </c>
      <c r="K45" s="32"/>
      <c r="L45" s="33">
        <f t="shared" si="13"/>
        <v>0</v>
      </c>
      <c r="M45" s="32"/>
      <c r="N45" s="32"/>
      <c r="O45" s="34">
        <f t="shared" si="14"/>
        <v>0</v>
      </c>
      <c r="P45" s="44"/>
      <c r="Q45" s="44"/>
      <c r="R45" s="37">
        <f t="shared" si="15"/>
        <v>0</v>
      </c>
      <c r="S45" s="38">
        <f t="shared" si="16"/>
        <v>0</v>
      </c>
      <c r="T45" s="39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10"/>
        <v>0</v>
      </c>
      <c r="I46" s="31">
        <f t="shared" si="11"/>
        <v>0</v>
      </c>
      <c r="J46" s="32" t="str">
        <f t="shared" si="12"/>
        <v/>
      </c>
      <c r="K46" s="32"/>
      <c r="L46" s="33">
        <f t="shared" si="13"/>
        <v>0</v>
      </c>
      <c r="M46" s="32"/>
      <c r="N46" s="32"/>
      <c r="O46" s="34">
        <f t="shared" si="14"/>
        <v>0</v>
      </c>
      <c r="P46" s="44"/>
      <c r="Q46" s="44"/>
      <c r="R46" s="37">
        <f t="shared" si="15"/>
        <v>0</v>
      </c>
      <c r="S46" s="38">
        <f t="shared" si="16"/>
        <v>0</v>
      </c>
      <c r="T46" s="39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10"/>
        <v>0</v>
      </c>
      <c r="I47" s="31">
        <f t="shared" si="11"/>
        <v>0</v>
      </c>
      <c r="J47" s="32" t="str">
        <f t="shared" si="12"/>
        <v/>
      </c>
      <c r="K47" s="32"/>
      <c r="L47" s="33">
        <f t="shared" si="13"/>
        <v>0</v>
      </c>
      <c r="M47" s="32"/>
      <c r="N47" s="32"/>
      <c r="O47" s="34">
        <f t="shared" si="14"/>
        <v>0</v>
      </c>
      <c r="P47" s="44"/>
      <c r="Q47" s="44"/>
      <c r="R47" s="37">
        <f t="shared" si="15"/>
        <v>0</v>
      </c>
      <c r="S47" s="38">
        <f t="shared" si="16"/>
        <v>0</v>
      </c>
      <c r="T47" s="39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10"/>
        <v>0</v>
      </c>
      <c r="I48" s="31">
        <f t="shared" si="11"/>
        <v>0</v>
      </c>
      <c r="J48" s="32" t="str">
        <f t="shared" si="12"/>
        <v/>
      </c>
      <c r="K48" s="32"/>
      <c r="L48" s="33">
        <f t="shared" si="13"/>
        <v>0</v>
      </c>
      <c r="M48" s="32"/>
      <c r="N48" s="32"/>
      <c r="O48" s="34">
        <f t="shared" si="14"/>
        <v>0</v>
      </c>
      <c r="P48" s="44"/>
      <c r="Q48" s="44"/>
      <c r="R48" s="37">
        <f t="shared" si="15"/>
        <v>0</v>
      </c>
      <c r="S48" s="38">
        <f t="shared" si="16"/>
        <v>0</v>
      </c>
      <c r="T48" s="39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10"/>
        <v>0</v>
      </c>
      <c r="I49" s="31">
        <f t="shared" si="11"/>
        <v>0</v>
      </c>
      <c r="J49" s="32" t="str">
        <f t="shared" si="12"/>
        <v/>
      </c>
      <c r="K49" s="32"/>
      <c r="L49" s="33">
        <f t="shared" si="13"/>
        <v>0</v>
      </c>
      <c r="M49" s="32"/>
      <c r="N49" s="32"/>
      <c r="O49" s="34">
        <f t="shared" si="14"/>
        <v>0</v>
      </c>
      <c r="P49" s="44"/>
      <c r="Q49" s="44"/>
      <c r="R49" s="37">
        <f t="shared" si="15"/>
        <v>0</v>
      </c>
      <c r="S49" s="38">
        <f t="shared" si="16"/>
        <v>0</v>
      </c>
      <c r="T49" s="39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10"/>
        <v>0</v>
      </c>
      <c r="I50" s="31">
        <f t="shared" si="11"/>
        <v>0</v>
      </c>
      <c r="J50" s="32" t="str">
        <f t="shared" si="12"/>
        <v/>
      </c>
      <c r="K50" s="32"/>
      <c r="L50" s="33">
        <f t="shared" si="13"/>
        <v>0</v>
      </c>
      <c r="M50" s="32"/>
      <c r="N50" s="32"/>
      <c r="O50" s="34">
        <f t="shared" si="14"/>
        <v>0</v>
      </c>
      <c r="P50" s="44"/>
      <c r="Q50" s="44"/>
      <c r="R50" s="37">
        <f t="shared" si="15"/>
        <v>0</v>
      </c>
      <c r="S50" s="38">
        <f t="shared" si="16"/>
        <v>0</v>
      </c>
      <c r="T50" s="39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10"/>
        <v>0</v>
      </c>
      <c r="I51" s="31">
        <f t="shared" si="11"/>
        <v>0</v>
      </c>
      <c r="J51" s="32" t="str">
        <f t="shared" si="12"/>
        <v/>
      </c>
      <c r="K51" s="32"/>
      <c r="L51" s="33">
        <f t="shared" si="13"/>
        <v>0</v>
      </c>
      <c r="M51" s="32"/>
      <c r="N51" s="32"/>
      <c r="O51" s="34">
        <f t="shared" si="14"/>
        <v>0</v>
      </c>
      <c r="P51" s="44"/>
      <c r="Q51" s="44"/>
      <c r="R51" s="37">
        <f t="shared" si="15"/>
        <v>0</v>
      </c>
      <c r="S51" s="38">
        <f t="shared" si="16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10"/>
        <v>0</v>
      </c>
      <c r="I52" s="31">
        <f t="shared" si="11"/>
        <v>0</v>
      </c>
      <c r="J52" s="32" t="str">
        <f t="shared" si="12"/>
        <v/>
      </c>
      <c r="K52" s="32"/>
      <c r="L52" s="33">
        <f t="shared" si="13"/>
        <v>0</v>
      </c>
      <c r="M52" s="32"/>
      <c r="N52" s="32"/>
      <c r="O52" s="34">
        <f t="shared" si="14"/>
        <v>0</v>
      </c>
      <c r="P52" s="44"/>
      <c r="Q52" s="44"/>
      <c r="R52" s="37">
        <f t="shared" si="15"/>
        <v>0</v>
      </c>
      <c r="S52" s="38">
        <f t="shared" si="16"/>
        <v>0</v>
      </c>
      <c r="T52" s="51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10"/>
        <v>0</v>
      </c>
      <c r="I53" s="31">
        <f t="shared" si="11"/>
        <v>0</v>
      </c>
      <c r="J53" s="32" t="str">
        <f t="shared" si="12"/>
        <v/>
      </c>
      <c r="K53" s="32"/>
      <c r="L53" s="33">
        <f t="shared" si="13"/>
        <v>0</v>
      </c>
      <c r="M53" s="32"/>
      <c r="N53" s="32"/>
      <c r="O53" s="34">
        <f t="shared" si="14"/>
        <v>0</v>
      </c>
      <c r="P53" s="44"/>
      <c r="Q53" s="44"/>
      <c r="R53" s="37">
        <f t="shared" si="15"/>
        <v>0</v>
      </c>
      <c r="S53" s="38">
        <f t="shared" si="16"/>
        <v>0</v>
      </c>
      <c r="T53" s="51"/>
      <c r="U53" s="42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49"/>
      <c r="D54" s="51"/>
      <c r="E54" s="51"/>
      <c r="F54" s="42"/>
      <c r="G54" s="53"/>
      <c r="H54" s="31">
        <f t="shared" si="10"/>
        <v>0</v>
      </c>
      <c r="I54" s="31">
        <f t="shared" si="11"/>
        <v>0</v>
      </c>
      <c r="J54" s="32" t="str">
        <f t="shared" si="12"/>
        <v/>
      </c>
      <c r="K54" s="32"/>
      <c r="L54" s="33">
        <f t="shared" si="13"/>
        <v>0</v>
      </c>
      <c r="M54" s="32"/>
      <c r="N54" s="32"/>
      <c r="O54" s="34">
        <f t="shared" si="14"/>
        <v>0</v>
      </c>
      <c r="P54" s="44"/>
      <c r="Q54" s="44"/>
      <c r="R54" s="37">
        <f t="shared" si="15"/>
        <v>0</v>
      </c>
      <c r="S54" s="38">
        <f t="shared" si="16"/>
        <v>0</v>
      </c>
      <c r="T54" s="51"/>
      <c r="U54" s="42"/>
    </row>
    <row r="55" ht="37.5" customHeight="1">
      <c r="B55" s="25">
        <v>22.0</v>
      </c>
      <c r="C55" s="49"/>
      <c r="D55" s="51"/>
      <c r="E55" s="51"/>
      <c r="F55" s="42"/>
      <c r="G55" s="53"/>
      <c r="H55" s="31">
        <f t="shared" si="10"/>
        <v>0</v>
      </c>
      <c r="I55" s="31">
        <f t="shared" si="11"/>
        <v>0</v>
      </c>
      <c r="J55" s="32" t="str">
        <f t="shared" si="12"/>
        <v/>
      </c>
      <c r="K55" s="32"/>
      <c r="L55" s="33">
        <f t="shared" si="13"/>
        <v>0</v>
      </c>
      <c r="M55" s="32"/>
      <c r="N55" s="32"/>
      <c r="O55" s="34">
        <f t="shared" si="14"/>
        <v>0</v>
      </c>
      <c r="P55" s="44"/>
      <c r="Q55" s="44"/>
      <c r="R55" s="37">
        <f t="shared" si="15"/>
        <v>0</v>
      </c>
      <c r="S55" s="38">
        <f t="shared" si="16"/>
        <v>0</v>
      </c>
      <c r="T55" s="51"/>
      <c r="U55" s="42"/>
    </row>
    <row r="56" ht="37.5" customHeight="1">
      <c r="B56" s="54"/>
      <c r="F56" s="55" t="s">
        <v>21</v>
      </c>
      <c r="S56" s="56">
        <f>SUM(S34:S55)</f>
        <v>2220000</v>
      </c>
      <c r="T56" s="57"/>
      <c r="U56" s="58"/>
    </row>
    <row r="57" ht="37.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t="37.5" customHeight="1">
      <c r="B58" s="21" t="str">
        <f>IFERROR(__xludf.DUMMYFUNCTION("IMPORTRANGE(""https://docs.google.com/spreadsheets/d/17TnzcKnlaqlAyM_3lnNpgK5CAOPbscCCRVH50X8UulY/edit?usp=sharing"",""JULI!B50"")"),"TANGGAL : 13-18 JULI 2026")</f>
        <v>TANGGAL : 13-18 JULI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IFERROR(__xludf.DUMMYFUNCTION("IMPORTRANGE(""https://docs.google.com/spreadsheets/d/17TnzcKnlaqlAyM_3lnNpgK5CAOPbscCCRVH50X8UulY/edit?usp=sharing"",""JULI!B51:D70"")"),"EPUL")</f>
        <v>EPUL</v>
      </c>
      <c r="D59" s="27" t="str">
        <f>IFERROR(__xludf.DUMMYFUNCTION("""COMPUTED_VALUE"""),"KEPALA")</f>
        <v>KEPALA</v>
      </c>
      <c r="E59" s="28"/>
      <c r="F59" s="52">
        <f>IFERROR(__xludf.DUMMYFUNCTION("IMPORTRANGE(""https://docs.google.com/spreadsheets/d/17TnzcKnlaqlAyM_3lnNpgK5CAOPbscCCRVH50X8UulY/edit?usp=sharing"",""JULI!K51:K69"")"),0.0)</f>
        <v>0</v>
      </c>
      <c r="G59" s="130">
        <v>110000.0</v>
      </c>
      <c r="H59" s="31">
        <f t="shared" ref="H59:H80" si="17">F59*G59</f>
        <v>0</v>
      </c>
      <c r="I59" s="31">
        <f t="shared" ref="I59:I80" si="18">F59*10000</f>
        <v>0</v>
      </c>
      <c r="J59" s="32" t="str">
        <f t="shared" ref="J59:J80" si="19">IF(E59="SHIFT 2",I59,"")</f>
        <v/>
      </c>
      <c r="K59" s="43"/>
      <c r="L59" s="33">
        <f t="shared" ref="L59:L80" si="20">U59*$L$58</f>
        <v>0</v>
      </c>
      <c r="M59" s="32"/>
      <c r="N59" s="32"/>
      <c r="O59" s="34">
        <f t="shared" ref="O59:O80" si="21">SUM(H59:N59)</f>
        <v>0</v>
      </c>
      <c r="P59" s="36"/>
      <c r="Q59" s="36"/>
      <c r="R59" s="37">
        <f t="shared" ref="R59:R80" si="22">SUM(P59:Q59)</f>
        <v>0</v>
      </c>
      <c r="S59" s="38">
        <f t="shared" ref="S59:S80" si="23">O59-R59</f>
        <v>0</v>
      </c>
      <c r="T59" s="52" t="str">
        <f>IFERROR(__xludf.DUMMYFUNCTION("IMPORTRANGE(""https://docs.google.com/spreadsheets/d/17TnzcKnlaqlAyM_3lnNpgK5CAOPbscCCRVH50X8UulY/edit?usp=sharing"",""JULI!L51:L70"")"),"")</f>
        <v/>
      </c>
      <c r="U59" s="42">
        <f>IFERROR(__xludf.DUMMYFUNCTION("IMPORTRANGE(""https://docs.google.com/spreadsheets/d/17TnzcKnlaqlAyM_3lnNpgK5CAOPbscCCRVH50X8UulY/edit?usp=sharing"",""JULI!U51:U70"")"),0.0)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/>
      <c r="F60" s="52">
        <f>IFERROR(__xludf.DUMMYFUNCTION("""COMPUTED_VALUE"""),0.0)</f>
        <v>0</v>
      </c>
      <c r="G60" s="130">
        <v>70000.0</v>
      </c>
      <c r="H60" s="31">
        <f t="shared" si="17"/>
        <v>0</v>
      </c>
      <c r="I60" s="31">
        <f t="shared" si="18"/>
        <v>0</v>
      </c>
      <c r="J60" s="32" t="str">
        <f t="shared" si="19"/>
        <v/>
      </c>
      <c r="K60" s="139"/>
      <c r="L60" s="33">
        <f t="shared" si="20"/>
        <v>0</v>
      </c>
      <c r="M60" s="41"/>
      <c r="N60" s="41"/>
      <c r="O60" s="34">
        <f t="shared" si="21"/>
        <v>0</v>
      </c>
      <c r="P60" s="35"/>
      <c r="Q60" s="36"/>
      <c r="R60" s="37">
        <f t="shared" si="22"/>
        <v>0</v>
      </c>
      <c r="S60" s="38">
        <f t="shared" si="23"/>
        <v>0</v>
      </c>
      <c r="T60" s="52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 t="str">
        <f>IFERROR(__xludf.DUMMYFUNCTION("""COMPUTED_VALUE"""),"KHRYSSAN")</f>
        <v>KHRYSSAN</v>
      </c>
      <c r="D61" s="27" t="str">
        <f>IFERROR(__xludf.DUMMYFUNCTION("""COMPUTED_VALUE"""),"ADMIN")</f>
        <v>ADMIN</v>
      </c>
      <c r="E61" s="28"/>
      <c r="F61" s="52">
        <f>IFERROR(__xludf.DUMMYFUNCTION("""COMPUTED_VALUE"""),0.0)</f>
        <v>0</v>
      </c>
      <c r="G61" s="130">
        <v>70000.0</v>
      </c>
      <c r="H61" s="31">
        <f t="shared" si="17"/>
        <v>0</v>
      </c>
      <c r="I61" s="31">
        <f t="shared" si="18"/>
        <v>0</v>
      </c>
      <c r="J61" s="32" t="str">
        <f t="shared" si="19"/>
        <v/>
      </c>
      <c r="K61" s="139"/>
      <c r="L61" s="33">
        <f t="shared" si="20"/>
        <v>0</v>
      </c>
      <c r="M61" s="41"/>
      <c r="N61" s="41"/>
      <c r="O61" s="34">
        <f t="shared" si="21"/>
        <v>0</v>
      </c>
      <c r="P61" s="36"/>
      <c r="Q61" s="36"/>
      <c r="R61" s="37">
        <f t="shared" si="22"/>
        <v>0</v>
      </c>
      <c r="S61" s="38">
        <f t="shared" si="23"/>
        <v>0</v>
      </c>
      <c r="T61" s="52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IFERROR(__xludf.DUMMYFUNCTION("""COMPUTED_VALUE"""),"ANDRI")</f>
        <v>ANDRI</v>
      </c>
      <c r="D62" s="27" t="str">
        <f>IFERROR(__xludf.DUMMYFUNCTION("""COMPUTED_VALUE"""),"DESIGN BORDIR")</f>
        <v>DESIGN BORDIR</v>
      </c>
      <c r="E62" s="28"/>
      <c r="F62" s="52">
        <f>IFERROR(__xludf.DUMMYFUNCTION("""COMPUTED_VALUE"""),0.0)</f>
        <v>0</v>
      </c>
      <c r="G62" s="130">
        <v>70000.0</v>
      </c>
      <c r="H62" s="31">
        <f t="shared" si="17"/>
        <v>0</v>
      </c>
      <c r="I62" s="31">
        <f t="shared" si="18"/>
        <v>0</v>
      </c>
      <c r="J62" s="32" t="str">
        <f t="shared" si="19"/>
        <v/>
      </c>
      <c r="K62" s="140"/>
      <c r="L62" s="33">
        <f t="shared" si="20"/>
        <v>0</v>
      </c>
      <c r="M62" s="32"/>
      <c r="N62" s="32"/>
      <c r="O62" s="34">
        <f t="shared" si="21"/>
        <v>0</v>
      </c>
      <c r="P62" s="36"/>
      <c r="Q62" s="36"/>
      <c r="R62" s="37">
        <f t="shared" si="22"/>
        <v>0</v>
      </c>
      <c r="S62" s="38">
        <f t="shared" si="23"/>
        <v>0</v>
      </c>
      <c r="T62" s="52"/>
      <c r="U62" s="42">
        <f>IFERROR(__xludf.DUMMYFUNCTION("""COMPUTED_VALUE"""),0.0)</f>
        <v>0</v>
      </c>
      <c r="V62" s="63"/>
      <c r="W62" s="63"/>
    </row>
    <row r="63" ht="37.5" customHeight="1">
      <c r="B63" s="25">
        <v>5.0</v>
      </c>
      <c r="C63" s="26" t="str">
        <f>IFERROR(__xludf.DUMMYFUNCTION("""COMPUTED_VALUE"""),"ADIT")</f>
        <v>ADIT</v>
      </c>
      <c r="D63" s="27" t="str">
        <f>IFERROR(__xludf.DUMMYFUNCTION("""COMPUTED_VALUE"""),"CREATOR")</f>
        <v>CREATOR</v>
      </c>
      <c r="E63" s="28"/>
      <c r="F63" s="52">
        <f>IFERROR(__xludf.DUMMYFUNCTION("""COMPUTED_VALUE"""),0.0)</f>
        <v>0</v>
      </c>
      <c r="G63" s="130">
        <v>50000.0</v>
      </c>
      <c r="H63" s="31">
        <f t="shared" si="17"/>
        <v>0</v>
      </c>
      <c r="I63" s="31">
        <f t="shared" si="18"/>
        <v>0</v>
      </c>
      <c r="J63" s="32" t="str">
        <f t="shared" si="19"/>
        <v/>
      </c>
      <c r="K63" s="43"/>
      <c r="L63" s="33">
        <f t="shared" si="20"/>
        <v>0</v>
      </c>
      <c r="M63" s="32"/>
      <c r="N63" s="32"/>
      <c r="O63" s="34">
        <f t="shared" si="21"/>
        <v>0</v>
      </c>
      <c r="P63" s="36"/>
      <c r="Q63" s="36"/>
      <c r="R63" s="37">
        <f t="shared" si="22"/>
        <v>0</v>
      </c>
      <c r="S63" s="38">
        <f t="shared" si="23"/>
        <v>0</v>
      </c>
      <c r="T63" s="52"/>
      <c r="U63" s="42">
        <f>IFERROR(__xludf.DUMMYFUNCTION("""COMPUTED_VALUE"""),0.0)</f>
        <v>0</v>
      </c>
      <c r="V63" s="63"/>
      <c r="W63" s="63"/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/>
      <c r="F64" s="52">
        <f>IFERROR(__xludf.DUMMYFUNCTION("""COMPUTED_VALUE"""),0.0)</f>
        <v>0</v>
      </c>
      <c r="G64" s="130">
        <v>70000.0</v>
      </c>
      <c r="H64" s="31">
        <f t="shared" si="17"/>
        <v>0</v>
      </c>
      <c r="I64" s="31">
        <f t="shared" si="18"/>
        <v>0</v>
      </c>
      <c r="J64" s="32" t="str">
        <f t="shared" si="19"/>
        <v/>
      </c>
      <c r="K64" s="43"/>
      <c r="L64" s="33">
        <f t="shared" si="20"/>
        <v>0</v>
      </c>
      <c r="M64" s="32"/>
      <c r="N64" s="32"/>
      <c r="O64" s="34">
        <f t="shared" si="21"/>
        <v>0</v>
      </c>
      <c r="P64" s="36"/>
      <c r="Q64" s="36"/>
      <c r="R64" s="37">
        <f t="shared" si="22"/>
        <v>0</v>
      </c>
      <c r="S64" s="38">
        <f t="shared" si="23"/>
        <v>0</v>
      </c>
      <c r="T64" s="52"/>
      <c r="U64" s="42">
        <f>IFERROR(__xludf.DUMMYFUNCTION("""COMPUTED_VALUE"""),0.0)</f>
        <v>0</v>
      </c>
      <c r="V64" s="63"/>
      <c r="W64" s="63"/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/>
      <c r="F65" s="52">
        <f>IFERROR(__xludf.DUMMYFUNCTION("""COMPUTED_VALUE"""),0.0)</f>
        <v>0</v>
      </c>
      <c r="G65" s="130">
        <v>70000.0</v>
      </c>
      <c r="H65" s="31">
        <f t="shared" si="17"/>
        <v>0</v>
      </c>
      <c r="I65" s="31">
        <f t="shared" si="18"/>
        <v>0</v>
      </c>
      <c r="J65" s="32" t="str">
        <f t="shared" si="19"/>
        <v/>
      </c>
      <c r="K65" s="43"/>
      <c r="L65" s="33">
        <f t="shared" si="20"/>
        <v>0</v>
      </c>
      <c r="M65" s="32"/>
      <c r="N65" s="32"/>
      <c r="O65" s="34">
        <f t="shared" si="21"/>
        <v>0</v>
      </c>
      <c r="P65" s="36"/>
      <c r="Q65" s="36"/>
      <c r="R65" s="37">
        <f t="shared" si="22"/>
        <v>0</v>
      </c>
      <c r="S65" s="38">
        <f t="shared" si="23"/>
        <v>0</v>
      </c>
      <c r="T65" s="52"/>
      <c r="U65" s="42">
        <f>IFERROR(__xludf.DUMMYFUNCTION("""COMPUTED_VALUE"""),0.0)</f>
        <v>0</v>
      </c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/>
      <c r="F66" s="52">
        <f>IFERROR(__xludf.DUMMYFUNCTION("""COMPUTED_VALUE"""),0.0)</f>
        <v>0</v>
      </c>
      <c r="G66" s="130">
        <v>50000.0</v>
      </c>
      <c r="H66" s="31">
        <f t="shared" si="17"/>
        <v>0</v>
      </c>
      <c r="I66" s="31">
        <f t="shared" si="18"/>
        <v>0</v>
      </c>
      <c r="J66" s="32" t="str">
        <f t="shared" si="19"/>
        <v/>
      </c>
      <c r="K66" s="43"/>
      <c r="L66" s="33">
        <f t="shared" si="20"/>
        <v>0</v>
      </c>
      <c r="M66" s="32"/>
      <c r="N66" s="32"/>
      <c r="O66" s="34">
        <f t="shared" si="21"/>
        <v>0</v>
      </c>
      <c r="P66" s="36"/>
      <c r="Q66" s="36"/>
      <c r="R66" s="37">
        <f t="shared" si="22"/>
        <v>0</v>
      </c>
      <c r="S66" s="38">
        <f t="shared" si="23"/>
        <v>0</v>
      </c>
      <c r="T66" s="52"/>
      <c r="U66" s="42">
        <f>IFERROR(__xludf.DUMMYFUNCTION("""COMPUTED_VALUE"""),0.0)</f>
        <v>0</v>
      </c>
    </row>
    <row r="67" ht="37.5" customHeight="1">
      <c r="B67" s="25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/>
      <c r="F67" s="52">
        <f>IFERROR(__xludf.DUMMYFUNCTION("""COMPUTED_VALUE"""),0.0)</f>
        <v>0</v>
      </c>
      <c r="G67" s="130">
        <v>50000.0</v>
      </c>
      <c r="H67" s="31">
        <f t="shared" si="17"/>
        <v>0</v>
      </c>
      <c r="I67" s="31">
        <f t="shared" si="18"/>
        <v>0</v>
      </c>
      <c r="J67" s="32" t="str">
        <f t="shared" si="19"/>
        <v/>
      </c>
      <c r="K67" s="32"/>
      <c r="L67" s="33">
        <f t="shared" si="20"/>
        <v>0</v>
      </c>
      <c r="M67" s="32"/>
      <c r="N67" s="32"/>
      <c r="O67" s="34">
        <f t="shared" si="21"/>
        <v>0</v>
      </c>
      <c r="P67" s="36"/>
      <c r="Q67" s="36"/>
      <c r="R67" s="37">
        <f t="shared" si="22"/>
        <v>0</v>
      </c>
      <c r="S67" s="38">
        <f t="shared" si="23"/>
        <v>0</v>
      </c>
      <c r="T67" s="52"/>
      <c r="U67" s="42">
        <f>IFERROR(__xludf.DUMMYFUNCTION("""COMPUTED_VALUE"""),0.0)</f>
        <v>0</v>
      </c>
    </row>
    <row r="68" ht="37.5" customHeight="1">
      <c r="B68" s="25">
        <v>10.0</v>
      </c>
      <c r="C68" s="26" t="str">
        <f>IFERROR(__xludf.DUMMYFUNCTION("""COMPUTED_VALUE"""),"IIS")</f>
        <v>IIS</v>
      </c>
      <c r="D68" s="27" t="str">
        <f>IFERROR(__xludf.DUMMYFUNCTION("""COMPUTED_VALUE"""),"PACKING")</f>
        <v>PACKING</v>
      </c>
      <c r="E68" s="51"/>
      <c r="F68" s="52">
        <f>IFERROR(__xludf.DUMMYFUNCTION("""COMPUTED_VALUE"""),0.0)</f>
        <v>0</v>
      </c>
      <c r="G68" s="130">
        <v>70000.0</v>
      </c>
      <c r="H68" s="31">
        <f t="shared" si="17"/>
        <v>0</v>
      </c>
      <c r="I68" s="31">
        <f t="shared" si="18"/>
        <v>0</v>
      </c>
      <c r="J68" s="32" t="str">
        <f t="shared" si="19"/>
        <v/>
      </c>
      <c r="K68" s="32"/>
      <c r="L68" s="33">
        <f t="shared" si="20"/>
        <v>0</v>
      </c>
      <c r="M68" s="32"/>
      <c r="N68" s="32"/>
      <c r="O68" s="34">
        <f t="shared" si="21"/>
        <v>0</v>
      </c>
      <c r="P68" s="36"/>
      <c r="Q68" s="36"/>
      <c r="R68" s="37">
        <f t="shared" si="22"/>
        <v>0</v>
      </c>
      <c r="S68" s="38">
        <f t="shared" si="23"/>
        <v>0</v>
      </c>
      <c r="T68" s="52"/>
      <c r="U68" s="42">
        <f>IFERROR(__xludf.DUMMYFUNCTION("""COMPUTED_VALUE"""),0.0)</f>
        <v>0</v>
      </c>
    </row>
    <row r="69" ht="37.5" customHeight="1">
      <c r="B69" s="25">
        <v>11.0</v>
      </c>
      <c r="C69" s="49"/>
      <c r="D69" s="50"/>
      <c r="E69" s="51"/>
      <c r="F69" s="52">
        <f>IFERROR(__xludf.DUMMYFUNCTION("""COMPUTED_VALUE"""),0.0)</f>
        <v>0</v>
      </c>
      <c r="G69" s="45"/>
      <c r="H69" s="31">
        <f t="shared" si="17"/>
        <v>0</v>
      </c>
      <c r="I69" s="31">
        <f t="shared" si="18"/>
        <v>0</v>
      </c>
      <c r="J69" s="32" t="str">
        <f t="shared" si="19"/>
        <v/>
      </c>
      <c r="K69" s="32"/>
      <c r="L69" s="33">
        <f t="shared" si="20"/>
        <v>0</v>
      </c>
      <c r="M69" s="32"/>
      <c r="N69" s="32"/>
      <c r="O69" s="34">
        <f t="shared" si="21"/>
        <v>0</v>
      </c>
      <c r="P69" s="36"/>
      <c r="Q69" s="36"/>
      <c r="R69" s="37">
        <f t="shared" si="22"/>
        <v>0</v>
      </c>
      <c r="S69" s="38">
        <f t="shared" si="23"/>
        <v>0</v>
      </c>
      <c r="T69" s="52"/>
      <c r="U69" s="42">
        <f>IFERROR(__xludf.DUMMYFUNCTION("""COMPUTED_VALUE"""),0.0)</f>
        <v>0</v>
      </c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7"/>
        <v>0</v>
      </c>
      <c r="I70" s="31">
        <f t="shared" si="18"/>
        <v>0</v>
      </c>
      <c r="J70" s="32" t="str">
        <f t="shared" si="19"/>
        <v/>
      </c>
      <c r="K70" s="32"/>
      <c r="L70" s="33">
        <f t="shared" si="20"/>
        <v>0</v>
      </c>
      <c r="M70" s="32"/>
      <c r="N70" s="32"/>
      <c r="O70" s="34">
        <f t="shared" si="21"/>
        <v>0</v>
      </c>
      <c r="P70" s="36"/>
      <c r="Q70" s="36"/>
      <c r="R70" s="37">
        <f t="shared" si="22"/>
        <v>0</v>
      </c>
      <c r="S70" s="38">
        <f t="shared" si="23"/>
        <v>0</v>
      </c>
      <c r="T70" s="52"/>
      <c r="U70" s="42">
        <f>IFERROR(__xludf.DUMMYFUNCTION("""COMPUTED_VALUE"""),0.0)</f>
        <v>0</v>
      </c>
    </row>
    <row r="71" ht="37.5" customHeight="1">
      <c r="B71" s="25">
        <v>13.0</v>
      </c>
      <c r="C71" s="49"/>
      <c r="D71" s="50"/>
      <c r="E71" s="51"/>
      <c r="F71" s="52">
        <f>IFERROR(__xludf.DUMMYFUNCTION("""COMPUTED_VALUE"""),0.0)</f>
        <v>0</v>
      </c>
      <c r="G71" s="45"/>
      <c r="H71" s="31">
        <f t="shared" si="17"/>
        <v>0</v>
      </c>
      <c r="I71" s="31">
        <f t="shared" si="18"/>
        <v>0</v>
      </c>
      <c r="J71" s="32" t="str">
        <f t="shared" si="19"/>
        <v/>
      </c>
      <c r="K71" s="32"/>
      <c r="L71" s="33">
        <f t="shared" si="20"/>
        <v>0</v>
      </c>
      <c r="M71" s="32"/>
      <c r="N71" s="32"/>
      <c r="O71" s="34">
        <f t="shared" si="21"/>
        <v>0</v>
      </c>
      <c r="P71" s="36"/>
      <c r="Q71" s="36"/>
      <c r="R71" s="37">
        <f t="shared" si="22"/>
        <v>0</v>
      </c>
      <c r="S71" s="38">
        <f t="shared" si="23"/>
        <v>0</v>
      </c>
      <c r="T71" s="52"/>
      <c r="U71" s="42">
        <f>IFERROR(__xludf.DUMMYFUNCTION("""COMPUTED_VALUE"""),0.0)</f>
        <v>0</v>
      </c>
    </row>
    <row r="72" ht="37.5" customHeight="1">
      <c r="B72" s="25">
        <v>14.0</v>
      </c>
      <c r="C72" s="49"/>
      <c r="D72" s="50"/>
      <c r="E72" s="51"/>
      <c r="F72" s="52">
        <f>IFERROR(__xludf.DUMMYFUNCTION("""COMPUTED_VALUE"""),0.0)</f>
        <v>0</v>
      </c>
      <c r="G72" s="45"/>
      <c r="H72" s="31">
        <f t="shared" si="17"/>
        <v>0</v>
      </c>
      <c r="I72" s="31">
        <f t="shared" si="18"/>
        <v>0</v>
      </c>
      <c r="J72" s="32" t="str">
        <f t="shared" si="19"/>
        <v/>
      </c>
      <c r="K72" s="32"/>
      <c r="L72" s="33">
        <f t="shared" si="20"/>
        <v>0</v>
      </c>
      <c r="M72" s="32"/>
      <c r="N72" s="32"/>
      <c r="O72" s="34">
        <f t="shared" si="21"/>
        <v>0</v>
      </c>
      <c r="P72" s="36"/>
      <c r="Q72" s="36"/>
      <c r="R72" s="37">
        <f t="shared" si="22"/>
        <v>0</v>
      </c>
      <c r="S72" s="38">
        <f t="shared" si="23"/>
        <v>0</v>
      </c>
      <c r="T72" s="52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7"/>
        <v>0</v>
      </c>
      <c r="I73" s="31">
        <f t="shared" si="18"/>
        <v>0</v>
      </c>
      <c r="J73" s="32" t="str">
        <f t="shared" si="19"/>
        <v/>
      </c>
      <c r="K73" s="32"/>
      <c r="L73" s="33">
        <f t="shared" si="20"/>
        <v>0</v>
      </c>
      <c r="M73" s="32"/>
      <c r="N73" s="32"/>
      <c r="O73" s="34">
        <f t="shared" si="21"/>
        <v>0</v>
      </c>
      <c r="P73" s="36"/>
      <c r="Q73" s="36"/>
      <c r="R73" s="37">
        <f t="shared" si="22"/>
        <v>0</v>
      </c>
      <c r="S73" s="38">
        <f t="shared" si="23"/>
        <v>0</v>
      </c>
      <c r="T73" s="52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7"/>
        <v>0</v>
      </c>
      <c r="I74" s="31">
        <f t="shared" si="18"/>
        <v>0</v>
      </c>
      <c r="J74" s="32" t="str">
        <f t="shared" si="19"/>
        <v/>
      </c>
      <c r="K74" s="32"/>
      <c r="L74" s="33">
        <f t="shared" si="20"/>
        <v>0</v>
      </c>
      <c r="M74" s="32"/>
      <c r="N74" s="32"/>
      <c r="O74" s="34">
        <f t="shared" si="21"/>
        <v>0</v>
      </c>
      <c r="P74" s="36"/>
      <c r="Q74" s="36"/>
      <c r="R74" s="37">
        <f t="shared" si="22"/>
        <v>0</v>
      </c>
      <c r="S74" s="38">
        <f t="shared" si="23"/>
        <v>0</v>
      </c>
      <c r="T74" s="52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7"/>
        <v>0</v>
      </c>
      <c r="I75" s="31">
        <f t="shared" si="18"/>
        <v>0</v>
      </c>
      <c r="J75" s="32" t="str">
        <f t="shared" si="19"/>
        <v/>
      </c>
      <c r="K75" s="32"/>
      <c r="L75" s="33">
        <f t="shared" si="20"/>
        <v>0</v>
      </c>
      <c r="M75" s="32"/>
      <c r="N75" s="32"/>
      <c r="O75" s="34">
        <f t="shared" si="21"/>
        <v>0</v>
      </c>
      <c r="P75" s="36"/>
      <c r="Q75" s="36"/>
      <c r="R75" s="37">
        <f t="shared" si="22"/>
        <v>0</v>
      </c>
      <c r="S75" s="38">
        <f t="shared" si="23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7"/>
        <v>0</v>
      </c>
      <c r="I76" s="31">
        <f t="shared" si="18"/>
        <v>0</v>
      </c>
      <c r="J76" s="32" t="str">
        <f t="shared" si="19"/>
        <v/>
      </c>
      <c r="K76" s="32"/>
      <c r="L76" s="33">
        <f t="shared" si="20"/>
        <v>0</v>
      </c>
      <c r="M76" s="32"/>
      <c r="N76" s="32"/>
      <c r="O76" s="34">
        <f t="shared" si="21"/>
        <v>0</v>
      </c>
      <c r="P76" s="44"/>
      <c r="Q76" s="44"/>
      <c r="R76" s="37">
        <f t="shared" si="22"/>
        <v>0</v>
      </c>
      <c r="S76" s="38">
        <f t="shared" si="23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7"/>
        <v>0</v>
      </c>
      <c r="I77" s="31">
        <f t="shared" si="18"/>
        <v>0</v>
      </c>
      <c r="J77" s="32" t="str">
        <f t="shared" si="19"/>
        <v/>
      </c>
      <c r="K77" s="32"/>
      <c r="L77" s="33">
        <f t="shared" si="20"/>
        <v>0</v>
      </c>
      <c r="M77" s="32"/>
      <c r="N77" s="32"/>
      <c r="O77" s="34">
        <f t="shared" si="21"/>
        <v>0</v>
      </c>
      <c r="P77" s="44"/>
      <c r="Q77" s="44"/>
      <c r="R77" s="37">
        <f t="shared" si="22"/>
        <v>0</v>
      </c>
      <c r="S77" s="38">
        <f t="shared" si="23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7"/>
        <v>0</v>
      </c>
      <c r="I78" s="31">
        <f t="shared" si="18"/>
        <v>0</v>
      </c>
      <c r="J78" s="32" t="str">
        <f t="shared" si="19"/>
        <v/>
      </c>
      <c r="K78" s="32"/>
      <c r="L78" s="33">
        <f t="shared" si="20"/>
        <v>0</v>
      </c>
      <c r="M78" s="32"/>
      <c r="N78" s="32"/>
      <c r="O78" s="34">
        <f t="shared" si="21"/>
        <v>0</v>
      </c>
      <c r="P78" s="44"/>
      <c r="Q78" s="44"/>
      <c r="R78" s="37">
        <f t="shared" si="22"/>
        <v>0</v>
      </c>
      <c r="S78" s="38">
        <f t="shared" si="23"/>
        <v>0</v>
      </c>
      <c r="T78" s="51"/>
      <c r="U78" s="42">
        <f>IFERROR(__xludf.DUMMYFUNCTION("""COMPUTED_VALUE"""),0.0)</f>
        <v>0</v>
      </c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7"/>
        <v>0</v>
      </c>
      <c r="I79" s="31">
        <f t="shared" si="18"/>
        <v>0</v>
      </c>
      <c r="J79" s="32" t="str">
        <f t="shared" si="19"/>
        <v/>
      </c>
      <c r="K79" s="32"/>
      <c r="L79" s="33">
        <f t="shared" si="20"/>
        <v>0</v>
      </c>
      <c r="M79" s="32"/>
      <c r="N79" s="32"/>
      <c r="O79" s="34">
        <f t="shared" si="21"/>
        <v>0</v>
      </c>
      <c r="P79" s="44"/>
      <c r="Q79" s="44"/>
      <c r="R79" s="37">
        <f t="shared" si="22"/>
        <v>0</v>
      </c>
      <c r="S79" s="38">
        <f t="shared" si="23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7"/>
        <v>0</v>
      </c>
      <c r="I80" s="31">
        <f t="shared" si="18"/>
        <v>0</v>
      </c>
      <c r="J80" s="32" t="str">
        <f t="shared" si="19"/>
        <v/>
      </c>
      <c r="K80" s="32"/>
      <c r="L80" s="33">
        <f t="shared" si="20"/>
        <v>0</v>
      </c>
      <c r="M80" s="32"/>
      <c r="N80" s="32"/>
      <c r="O80" s="34">
        <f t="shared" si="21"/>
        <v>0</v>
      </c>
      <c r="P80" s="44"/>
      <c r="Q80" s="44"/>
      <c r="R80" s="37">
        <f t="shared" si="22"/>
        <v>0</v>
      </c>
      <c r="S80" s="38">
        <f t="shared" si="23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IFERROR(__xludf.DUMMYFUNCTION("IMPORTRANGE(""https://docs.google.com/spreadsheets/d/17TnzcKnlaqlAyM_3lnNpgK5CAOPbscCCRVH50X8UulY/edit?usp=sharing"",""JULI!B72"")"),"TANGGAL : 20-25 JULI 2026")</f>
        <v>TANGGAL : 20-25 JULI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IFERROR(__xludf.DUMMYFUNCTION("IMPORTRANGE(""https://docs.google.com/spreadsheets/d/17TnzcKnlaqlAyM_3lnNpgK5CAOPbscCCRVH50X8UulY/edit?usp=sharing"",""JULI!B73:D92"")"),"EPUL")</f>
        <v>EPUL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IFERROR(__xludf.DUMMYFUNCTION("IMPORTRANGE(""https://docs.google.com/spreadsheets/d/17TnzcKnlaqlAyM_3lnNpgK5CAOPbscCCRVH50X8UulY/edit?usp=sharing"",""JULI!K73:K91"")"),0.0)</f>
        <v>0</v>
      </c>
      <c r="G84" s="130">
        <v>110000.0</v>
      </c>
      <c r="H84" s="31">
        <f t="shared" ref="H84:H105" si="24">F84*G84</f>
        <v>0</v>
      </c>
      <c r="I84" s="31">
        <f t="shared" ref="I84:I105" si="25">F84*10000</f>
        <v>0</v>
      </c>
      <c r="J84" s="32" t="str">
        <f t="shared" ref="J84:J105" si="26">IF(E84="SHIFT 2",I84,"")</f>
        <v/>
      </c>
      <c r="K84" s="32"/>
      <c r="L84" s="33">
        <f t="shared" ref="L84:L105" si="27">U84*$L$83</f>
        <v>0</v>
      </c>
      <c r="M84" s="66"/>
      <c r="N84" s="32"/>
      <c r="O84" s="34">
        <f t="shared" ref="O84:O105" si="28">SUM(H84:N84)</f>
        <v>0</v>
      </c>
      <c r="P84" s="141"/>
      <c r="Q84" s="141"/>
      <c r="R84" s="37">
        <f t="shared" ref="R84:R105" si="29">SUM(P84:Q84)</f>
        <v>0</v>
      </c>
      <c r="S84" s="38">
        <f t="shared" ref="S84:S105" si="30">O84-R84</f>
        <v>0</v>
      </c>
      <c r="T84" s="39" t="str">
        <f>IFERROR(__xludf.DUMMYFUNCTION("IMPORTRANGE(""https://docs.google.com/spreadsheets/d/17TnzcKnlaqlAyM_3lnNpgK5CAOPbscCCRVH50X8UulY/edit?usp=sharing"",""JULI!L73:L92"")"),"")</f>
        <v/>
      </c>
      <c r="U84" s="42">
        <f>IFERROR(__xludf.DUMMYFUNCTION("IMPORTRANGE(""https://docs.google.com/spreadsheets/d/17TnzcKnlaqlAyM_3lnNpgK5CAOPbscCCRVH50X8UulY/edit?usp=sharing"",""JULI!U73:U92"")"),0.0)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IFERROR(__xludf.DUMMYFUNCTION("""COMPUTED_VALUE"""),0.0)</f>
        <v>0</v>
      </c>
      <c r="G85" s="130">
        <v>70000.0</v>
      </c>
      <c r="H85" s="31">
        <f t="shared" si="24"/>
        <v>0</v>
      </c>
      <c r="I85" s="31">
        <f t="shared" si="25"/>
        <v>0</v>
      </c>
      <c r="J85" s="32" t="str">
        <f t="shared" si="26"/>
        <v/>
      </c>
      <c r="K85" s="41"/>
      <c r="L85" s="33">
        <f t="shared" si="27"/>
        <v>0</v>
      </c>
      <c r="M85" s="41"/>
      <c r="N85" s="41"/>
      <c r="O85" s="34">
        <f t="shared" si="28"/>
        <v>0</v>
      </c>
      <c r="P85" s="141"/>
      <c r="Q85" s="141"/>
      <c r="R85" s="37">
        <f t="shared" si="29"/>
        <v>0</v>
      </c>
      <c r="S85" s="38">
        <f t="shared" si="30"/>
        <v>0</v>
      </c>
      <c r="T85" s="39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 t="str">
        <f>IFERROR(__xludf.DUMMYFUNCTION("""COMPUTED_VALUE"""),"KHRYSSAN")</f>
        <v>KHRYSSAN</v>
      </c>
      <c r="D86" s="27" t="str">
        <f>IFERROR(__xludf.DUMMYFUNCTION("""COMPUTED_VALUE"""),"ADMIN")</f>
        <v>ADMIN</v>
      </c>
      <c r="E86" s="28"/>
      <c r="F86" s="52">
        <f>IFERROR(__xludf.DUMMYFUNCTION("""COMPUTED_VALUE"""),0.0)</f>
        <v>0</v>
      </c>
      <c r="G86" s="130">
        <v>70000.0</v>
      </c>
      <c r="H86" s="31">
        <f t="shared" si="24"/>
        <v>0</v>
      </c>
      <c r="I86" s="31">
        <f t="shared" si="25"/>
        <v>0</v>
      </c>
      <c r="J86" s="32" t="str">
        <f t="shared" si="26"/>
        <v/>
      </c>
      <c r="K86" s="41"/>
      <c r="L86" s="33">
        <f t="shared" si="27"/>
        <v>0</v>
      </c>
      <c r="M86" s="41"/>
      <c r="N86" s="41"/>
      <c r="O86" s="34">
        <f t="shared" si="28"/>
        <v>0</v>
      </c>
      <c r="P86" s="142"/>
      <c r="Q86" s="141"/>
      <c r="R86" s="37">
        <f t="shared" si="29"/>
        <v>0</v>
      </c>
      <c r="S86" s="38">
        <f t="shared" si="30"/>
        <v>0</v>
      </c>
      <c r="T86" s="39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IFERROR(__xludf.DUMMYFUNCTION("""COMPUTED_VALUE"""),"ANDRI")</f>
        <v>ANDRI</v>
      </c>
      <c r="D87" s="27" t="str">
        <f>IFERROR(__xludf.DUMMYFUNCTION("""COMPUTED_VALUE"""),"DESIGN BORDIR")</f>
        <v>DESIGN BORDIR</v>
      </c>
      <c r="E87" s="28"/>
      <c r="F87" s="52">
        <f>IFERROR(__xludf.DUMMYFUNCTION("""COMPUTED_VALUE"""),0.0)</f>
        <v>0</v>
      </c>
      <c r="G87" s="130">
        <v>70000.0</v>
      </c>
      <c r="H87" s="31">
        <f t="shared" si="24"/>
        <v>0</v>
      </c>
      <c r="I87" s="31">
        <f t="shared" si="25"/>
        <v>0</v>
      </c>
      <c r="J87" s="32" t="str">
        <f t="shared" si="26"/>
        <v/>
      </c>
      <c r="K87" s="32"/>
      <c r="L87" s="33">
        <f t="shared" si="27"/>
        <v>0</v>
      </c>
      <c r="M87" s="32"/>
      <c r="N87" s="32"/>
      <c r="O87" s="34">
        <f t="shared" si="28"/>
        <v>0</v>
      </c>
      <c r="P87" s="141"/>
      <c r="Q87" s="141"/>
      <c r="R87" s="37">
        <f t="shared" si="29"/>
        <v>0</v>
      </c>
      <c r="S87" s="38">
        <f t="shared" si="30"/>
        <v>0</v>
      </c>
      <c r="T87" s="39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IFERROR(__xludf.DUMMYFUNCTION("""COMPUTED_VALUE"""),"ADIT")</f>
        <v>ADIT</v>
      </c>
      <c r="D88" s="27" t="str">
        <f>IFERROR(__xludf.DUMMYFUNCTION("""COMPUTED_VALUE"""),"CREATOR")</f>
        <v>CREATOR</v>
      </c>
      <c r="E88" s="28"/>
      <c r="F88" s="52">
        <f>IFERROR(__xludf.DUMMYFUNCTION("""COMPUTED_VALUE"""),0.0)</f>
        <v>0</v>
      </c>
      <c r="G88" s="130">
        <v>50000.0</v>
      </c>
      <c r="H88" s="31">
        <f t="shared" si="24"/>
        <v>0</v>
      </c>
      <c r="I88" s="31">
        <f t="shared" si="25"/>
        <v>0</v>
      </c>
      <c r="J88" s="32" t="str">
        <f t="shared" si="26"/>
        <v/>
      </c>
      <c r="K88" s="32"/>
      <c r="L88" s="33">
        <f t="shared" si="27"/>
        <v>0</v>
      </c>
      <c r="M88" s="32"/>
      <c r="N88" s="32"/>
      <c r="O88" s="34">
        <f t="shared" si="28"/>
        <v>0</v>
      </c>
      <c r="P88" s="141"/>
      <c r="Q88" s="141"/>
      <c r="R88" s="37">
        <f t="shared" si="29"/>
        <v>0</v>
      </c>
      <c r="S88" s="38">
        <f t="shared" si="30"/>
        <v>0</v>
      </c>
      <c r="T88" s="39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IFERROR(__xludf.DUMMYFUNCTION("""COMPUTED_VALUE"""),0.0)</f>
        <v>0</v>
      </c>
      <c r="G89" s="130">
        <v>70000.0</v>
      </c>
      <c r="H89" s="31">
        <f t="shared" si="24"/>
        <v>0</v>
      </c>
      <c r="I89" s="31">
        <f t="shared" si="25"/>
        <v>0</v>
      </c>
      <c r="J89" s="32" t="str">
        <f t="shared" si="26"/>
        <v/>
      </c>
      <c r="K89" s="32"/>
      <c r="L89" s="33">
        <f t="shared" si="27"/>
        <v>0</v>
      </c>
      <c r="M89" s="32"/>
      <c r="N89" s="32"/>
      <c r="O89" s="34">
        <f t="shared" si="28"/>
        <v>0</v>
      </c>
      <c r="P89" s="141"/>
      <c r="Q89" s="141"/>
      <c r="R89" s="37">
        <f t="shared" si="29"/>
        <v>0</v>
      </c>
      <c r="S89" s="38">
        <f t="shared" si="30"/>
        <v>0</v>
      </c>
      <c r="T89" s="39"/>
      <c r="U89" s="42">
        <f>IFERROR(__xludf.DUMMYFUNCTION("""COMPUTED_VALUE"""),0.0)</f>
        <v>0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IFERROR(__xludf.DUMMYFUNCTION("""COMPUTED_VALUE"""),0.0)</f>
        <v>0</v>
      </c>
      <c r="G90" s="130">
        <v>70000.0</v>
      </c>
      <c r="H90" s="31">
        <f t="shared" si="24"/>
        <v>0</v>
      </c>
      <c r="I90" s="31">
        <f t="shared" si="25"/>
        <v>0</v>
      </c>
      <c r="J90" s="32" t="str">
        <f t="shared" si="26"/>
        <v/>
      </c>
      <c r="K90" s="32"/>
      <c r="L90" s="33">
        <f t="shared" si="27"/>
        <v>0</v>
      </c>
      <c r="M90" s="32"/>
      <c r="N90" s="32"/>
      <c r="O90" s="34">
        <f t="shared" si="28"/>
        <v>0</v>
      </c>
      <c r="P90" s="141"/>
      <c r="Q90" s="141"/>
      <c r="R90" s="37">
        <f t="shared" si="29"/>
        <v>0</v>
      </c>
      <c r="S90" s="38">
        <f t="shared" si="30"/>
        <v>0</v>
      </c>
      <c r="T90" s="39"/>
      <c r="U90" s="42">
        <f>IFERROR(__xludf.DUMMYFUNCTION("""COMPUTED_VALUE"""),0.0)</f>
        <v>0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IFERROR(__xludf.DUMMYFUNCTION("""COMPUTED_VALUE"""),0.0)</f>
        <v>0</v>
      </c>
      <c r="G91" s="130">
        <v>50000.0</v>
      </c>
      <c r="H91" s="31">
        <f t="shared" si="24"/>
        <v>0</v>
      </c>
      <c r="I91" s="31">
        <f t="shared" si="25"/>
        <v>0</v>
      </c>
      <c r="J91" s="32" t="str">
        <f t="shared" si="26"/>
        <v/>
      </c>
      <c r="K91" s="32"/>
      <c r="L91" s="33">
        <f t="shared" si="27"/>
        <v>0</v>
      </c>
      <c r="M91" s="32"/>
      <c r="N91" s="32"/>
      <c r="O91" s="34">
        <f t="shared" si="28"/>
        <v>0</v>
      </c>
      <c r="P91" s="141"/>
      <c r="Q91" s="141"/>
      <c r="R91" s="37">
        <f t="shared" si="29"/>
        <v>0</v>
      </c>
      <c r="S91" s="38">
        <f t="shared" si="30"/>
        <v>0</v>
      </c>
      <c r="T91" s="39"/>
      <c r="U91" s="42">
        <f>IFERROR(__xludf.DUMMYFUNCTION("""COMPUTED_VALUE"""),0.0)</f>
        <v>0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/>
      <c r="F92" s="52">
        <f>IFERROR(__xludf.DUMMYFUNCTION("""COMPUTED_VALUE"""),0.0)</f>
        <v>0</v>
      </c>
      <c r="G92" s="130">
        <v>50000.0</v>
      </c>
      <c r="H92" s="31">
        <f t="shared" si="24"/>
        <v>0</v>
      </c>
      <c r="I92" s="31">
        <f t="shared" si="25"/>
        <v>0</v>
      </c>
      <c r="J92" s="32" t="str">
        <f t="shared" si="26"/>
        <v/>
      </c>
      <c r="K92" s="32"/>
      <c r="L92" s="33">
        <f t="shared" si="27"/>
        <v>0</v>
      </c>
      <c r="M92" s="32"/>
      <c r="N92" s="32"/>
      <c r="O92" s="34">
        <f t="shared" si="28"/>
        <v>0</v>
      </c>
      <c r="P92" s="141"/>
      <c r="Q92" s="141"/>
      <c r="R92" s="37">
        <f t="shared" si="29"/>
        <v>0</v>
      </c>
      <c r="S92" s="38">
        <f t="shared" si="30"/>
        <v>0</v>
      </c>
      <c r="T92" s="39"/>
      <c r="U92" s="42">
        <f>IFERROR(__xludf.DUMMYFUNCTION("""COMPUTED_VALUE"""),0.0)</f>
        <v>0</v>
      </c>
    </row>
    <row r="93" ht="37.5" customHeight="1">
      <c r="B93" s="25">
        <v>10.0</v>
      </c>
      <c r="C93" s="26" t="str">
        <f>IFERROR(__xludf.DUMMYFUNCTION("""COMPUTED_VALUE"""),"IIS")</f>
        <v>IIS</v>
      </c>
      <c r="D93" s="27" t="str">
        <f>IFERROR(__xludf.DUMMYFUNCTION("""COMPUTED_VALUE"""),"PACKING")</f>
        <v>PACKING</v>
      </c>
      <c r="E93" s="51"/>
      <c r="F93" s="52">
        <f>IFERROR(__xludf.DUMMYFUNCTION("""COMPUTED_VALUE"""),0.0)</f>
        <v>0</v>
      </c>
      <c r="G93" s="130">
        <v>70000.0</v>
      </c>
      <c r="H93" s="31">
        <f t="shared" si="24"/>
        <v>0</v>
      </c>
      <c r="I93" s="31">
        <f t="shared" si="25"/>
        <v>0</v>
      </c>
      <c r="J93" s="32" t="str">
        <f t="shared" si="26"/>
        <v/>
      </c>
      <c r="K93" s="32"/>
      <c r="L93" s="33">
        <f t="shared" si="27"/>
        <v>0</v>
      </c>
      <c r="M93" s="32"/>
      <c r="N93" s="32"/>
      <c r="O93" s="34">
        <f t="shared" si="28"/>
        <v>0</v>
      </c>
      <c r="P93" s="141"/>
      <c r="Q93" s="141"/>
      <c r="R93" s="37">
        <f t="shared" si="29"/>
        <v>0</v>
      </c>
      <c r="S93" s="38">
        <f t="shared" si="30"/>
        <v>0</v>
      </c>
      <c r="T93" s="39"/>
      <c r="U93" s="42">
        <f>IFERROR(__xludf.DUMMYFUNCTION("""COMPUTED_VALUE"""),0.0)</f>
        <v>0</v>
      </c>
    </row>
    <row r="94" ht="37.5" customHeight="1">
      <c r="B94" s="25">
        <v>11.0</v>
      </c>
      <c r="C94" s="49"/>
      <c r="D94" s="50"/>
      <c r="E94" s="51"/>
      <c r="F94" s="52">
        <f>IFERROR(__xludf.DUMMYFUNCTION("""COMPUTED_VALUE"""),0.0)</f>
        <v>0</v>
      </c>
      <c r="G94" s="45"/>
      <c r="H94" s="31">
        <f t="shared" si="24"/>
        <v>0</v>
      </c>
      <c r="I94" s="31">
        <f t="shared" si="25"/>
        <v>0</v>
      </c>
      <c r="J94" s="32" t="str">
        <f t="shared" si="26"/>
        <v/>
      </c>
      <c r="K94" s="32"/>
      <c r="L94" s="33">
        <f t="shared" si="27"/>
        <v>0</v>
      </c>
      <c r="M94" s="32"/>
      <c r="N94" s="32"/>
      <c r="O94" s="34">
        <f t="shared" si="28"/>
        <v>0</v>
      </c>
      <c r="P94" s="141"/>
      <c r="Q94" s="141"/>
      <c r="R94" s="37">
        <f t="shared" si="29"/>
        <v>0</v>
      </c>
      <c r="S94" s="38">
        <f t="shared" si="30"/>
        <v>0</v>
      </c>
      <c r="T94" s="39"/>
      <c r="U94" s="42">
        <f>IFERROR(__xludf.DUMMYFUNCTION("""COMPUTED_VALUE"""),0.0)</f>
        <v>0</v>
      </c>
    </row>
    <row r="95" ht="37.5" customHeight="1">
      <c r="B95" s="25">
        <v>12.0</v>
      </c>
      <c r="C95" s="49"/>
      <c r="D95" s="50"/>
      <c r="E95" s="51"/>
      <c r="F95" s="52">
        <f>IFERROR(__xludf.DUMMYFUNCTION("""COMPUTED_VALUE"""),0.0)</f>
        <v>0</v>
      </c>
      <c r="G95" s="45"/>
      <c r="H95" s="31">
        <f t="shared" si="24"/>
        <v>0</v>
      </c>
      <c r="I95" s="31">
        <f t="shared" si="25"/>
        <v>0</v>
      </c>
      <c r="J95" s="32" t="str">
        <f t="shared" si="26"/>
        <v/>
      </c>
      <c r="K95" s="32"/>
      <c r="L95" s="33">
        <f t="shared" si="27"/>
        <v>0</v>
      </c>
      <c r="M95" s="32"/>
      <c r="N95" s="32"/>
      <c r="O95" s="34">
        <f t="shared" si="28"/>
        <v>0</v>
      </c>
      <c r="P95" s="44"/>
      <c r="Q95" s="44"/>
      <c r="R95" s="37">
        <f t="shared" si="29"/>
        <v>0</v>
      </c>
      <c r="S95" s="38">
        <f t="shared" si="30"/>
        <v>0</v>
      </c>
      <c r="T95" s="39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51"/>
      <c r="F96" s="52">
        <f>IFERROR(__xludf.DUMMYFUNCTION("""COMPUTED_VALUE"""),0.0)</f>
        <v>0</v>
      </c>
      <c r="G96" s="45"/>
      <c r="H96" s="31">
        <f t="shared" si="24"/>
        <v>0</v>
      </c>
      <c r="I96" s="31">
        <f t="shared" si="25"/>
        <v>0</v>
      </c>
      <c r="J96" s="32" t="str">
        <f t="shared" si="26"/>
        <v/>
      </c>
      <c r="K96" s="32"/>
      <c r="L96" s="33">
        <f t="shared" si="27"/>
        <v>0</v>
      </c>
      <c r="M96" s="32"/>
      <c r="N96" s="32"/>
      <c r="O96" s="34">
        <f t="shared" si="28"/>
        <v>0</v>
      </c>
      <c r="P96" s="44"/>
      <c r="Q96" s="44"/>
      <c r="R96" s="37">
        <f t="shared" si="29"/>
        <v>0</v>
      </c>
      <c r="S96" s="38">
        <f t="shared" si="30"/>
        <v>0</v>
      </c>
      <c r="T96" s="39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51"/>
      <c r="F97" s="52">
        <f>IFERROR(__xludf.DUMMYFUNCTION("""COMPUTED_VALUE"""),0.0)</f>
        <v>0</v>
      </c>
      <c r="G97" s="45"/>
      <c r="H97" s="31">
        <f t="shared" si="24"/>
        <v>0</v>
      </c>
      <c r="I97" s="31">
        <f t="shared" si="25"/>
        <v>0</v>
      </c>
      <c r="J97" s="32" t="str">
        <f t="shared" si="26"/>
        <v/>
      </c>
      <c r="K97" s="32"/>
      <c r="L97" s="33">
        <f t="shared" si="27"/>
        <v>0</v>
      </c>
      <c r="M97" s="32"/>
      <c r="N97" s="32"/>
      <c r="O97" s="34">
        <f t="shared" si="28"/>
        <v>0</v>
      </c>
      <c r="P97" s="44"/>
      <c r="Q97" s="44"/>
      <c r="R97" s="37">
        <f t="shared" si="29"/>
        <v>0</v>
      </c>
      <c r="S97" s="38">
        <f t="shared" si="30"/>
        <v>0</v>
      </c>
      <c r="T97" s="39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1"/>
      <c r="E98" s="51"/>
      <c r="F98" s="42">
        <f>IFERROR(__xludf.DUMMYFUNCTION("""COMPUTED_VALUE"""),0.0)</f>
        <v>0</v>
      </c>
      <c r="G98" s="45"/>
      <c r="H98" s="31">
        <f t="shared" si="24"/>
        <v>0</v>
      </c>
      <c r="I98" s="31">
        <f t="shared" si="25"/>
        <v>0</v>
      </c>
      <c r="J98" s="32" t="str">
        <f t="shared" si="26"/>
        <v/>
      </c>
      <c r="K98" s="32"/>
      <c r="L98" s="33">
        <f t="shared" si="27"/>
        <v>0</v>
      </c>
      <c r="M98" s="32"/>
      <c r="N98" s="32"/>
      <c r="O98" s="34">
        <f t="shared" si="28"/>
        <v>0</v>
      </c>
      <c r="P98" s="44"/>
      <c r="Q98" s="44"/>
      <c r="R98" s="37">
        <f t="shared" si="29"/>
        <v>0</v>
      </c>
      <c r="S98" s="38">
        <f t="shared" si="30"/>
        <v>0</v>
      </c>
      <c r="T98" s="51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4"/>
        <v>0</v>
      </c>
      <c r="I99" s="31">
        <f t="shared" si="25"/>
        <v>0</v>
      </c>
      <c r="J99" s="32" t="str">
        <f t="shared" si="26"/>
        <v/>
      </c>
      <c r="K99" s="32"/>
      <c r="L99" s="33">
        <f t="shared" si="27"/>
        <v>0</v>
      </c>
      <c r="M99" s="32"/>
      <c r="N99" s="32"/>
      <c r="O99" s="34">
        <f t="shared" si="28"/>
        <v>0</v>
      </c>
      <c r="P99" s="44"/>
      <c r="Q99" s="44"/>
      <c r="R99" s="37">
        <f t="shared" si="29"/>
        <v>0</v>
      </c>
      <c r="S99" s="38">
        <f t="shared" si="30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4"/>
        <v>0</v>
      </c>
      <c r="I100" s="31">
        <f t="shared" si="25"/>
        <v>0</v>
      </c>
      <c r="J100" s="32" t="str">
        <f t="shared" si="26"/>
        <v/>
      </c>
      <c r="K100" s="32"/>
      <c r="L100" s="33">
        <f t="shared" si="27"/>
        <v>0</v>
      </c>
      <c r="M100" s="32"/>
      <c r="N100" s="32"/>
      <c r="O100" s="34">
        <f t="shared" si="28"/>
        <v>0</v>
      </c>
      <c r="P100" s="44"/>
      <c r="Q100" s="44"/>
      <c r="R100" s="37">
        <f t="shared" si="29"/>
        <v>0</v>
      </c>
      <c r="S100" s="38">
        <f t="shared" si="30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4"/>
        <v>0</v>
      </c>
      <c r="I101" s="31">
        <f t="shared" si="25"/>
        <v>0</v>
      </c>
      <c r="J101" s="32" t="str">
        <f t="shared" si="26"/>
        <v/>
      </c>
      <c r="K101" s="32"/>
      <c r="L101" s="33">
        <f t="shared" si="27"/>
        <v>0</v>
      </c>
      <c r="M101" s="32"/>
      <c r="N101" s="32"/>
      <c r="O101" s="34">
        <f t="shared" si="28"/>
        <v>0</v>
      </c>
      <c r="P101" s="44"/>
      <c r="Q101" s="44"/>
      <c r="R101" s="37">
        <f t="shared" si="29"/>
        <v>0</v>
      </c>
      <c r="S101" s="38">
        <f t="shared" si="30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4"/>
        <v>0</v>
      </c>
      <c r="I102" s="31">
        <f t="shared" si="25"/>
        <v>0</v>
      </c>
      <c r="J102" s="32" t="str">
        <f t="shared" si="26"/>
        <v/>
      </c>
      <c r="K102" s="32"/>
      <c r="L102" s="33">
        <f t="shared" si="27"/>
        <v>0</v>
      </c>
      <c r="M102" s="32"/>
      <c r="N102" s="32"/>
      <c r="O102" s="34">
        <f t="shared" si="28"/>
        <v>0</v>
      </c>
      <c r="P102" s="44"/>
      <c r="Q102" s="44"/>
      <c r="R102" s="37">
        <f t="shared" si="29"/>
        <v>0</v>
      </c>
      <c r="S102" s="38">
        <f t="shared" si="30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4"/>
        <v>0</v>
      </c>
      <c r="I103" s="31">
        <f t="shared" si="25"/>
        <v>0</v>
      </c>
      <c r="J103" s="32" t="str">
        <f t="shared" si="26"/>
        <v/>
      </c>
      <c r="K103" s="32"/>
      <c r="L103" s="33">
        <f t="shared" si="27"/>
        <v>0</v>
      </c>
      <c r="M103" s="32"/>
      <c r="N103" s="32"/>
      <c r="O103" s="34">
        <f t="shared" si="28"/>
        <v>0</v>
      </c>
      <c r="P103" s="44"/>
      <c r="Q103" s="44"/>
      <c r="R103" s="37">
        <f t="shared" si="29"/>
        <v>0</v>
      </c>
      <c r="S103" s="38">
        <f t="shared" si="30"/>
        <v>0</v>
      </c>
      <c r="T103" s="51"/>
      <c r="U103" s="42">
        <f>IFERROR(__xludf.DUMMYFUNCTION("""COMPUTED_VALUE"""),0.0)</f>
        <v>0</v>
      </c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4"/>
        <v>0</v>
      </c>
      <c r="I104" s="31">
        <f t="shared" si="25"/>
        <v>0</v>
      </c>
      <c r="J104" s="32" t="str">
        <f t="shared" si="26"/>
        <v/>
      </c>
      <c r="K104" s="32"/>
      <c r="L104" s="33">
        <f t="shared" si="27"/>
        <v>0</v>
      </c>
      <c r="M104" s="32"/>
      <c r="N104" s="32"/>
      <c r="O104" s="34">
        <f t="shared" si="28"/>
        <v>0</v>
      </c>
      <c r="P104" s="44"/>
      <c r="Q104" s="44"/>
      <c r="R104" s="37">
        <f t="shared" si="29"/>
        <v>0</v>
      </c>
      <c r="S104" s="38">
        <f t="shared" si="30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4"/>
        <v>0</v>
      </c>
      <c r="I105" s="31">
        <f t="shared" si="25"/>
        <v>0</v>
      </c>
      <c r="J105" s="32" t="str">
        <f t="shared" si="26"/>
        <v/>
      </c>
      <c r="K105" s="32"/>
      <c r="L105" s="33">
        <f t="shared" si="27"/>
        <v>0</v>
      </c>
      <c r="M105" s="32"/>
      <c r="N105" s="32"/>
      <c r="O105" s="34">
        <f t="shared" si="28"/>
        <v>0</v>
      </c>
      <c r="P105" s="44"/>
      <c r="Q105" s="44"/>
      <c r="R105" s="37">
        <f t="shared" si="29"/>
        <v>0</v>
      </c>
      <c r="S105" s="38">
        <f t="shared" si="30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0</v>
      </c>
      <c r="T106" s="57"/>
      <c r="U106" s="58"/>
    </row>
    <row r="107" ht="37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IFERROR(__xludf.DUMMYFUNCTION("IMPORTRANGE(""https://docs.google.com/spreadsheets/d/17TnzcKnlaqlAyM_3lnNpgK5CAOPbscCCRVH50X8UulY/edit?usp=sharing"",""JULI!B94"")"),"TANGGAL : 27-31 JULI 2026")</f>
        <v>TANGGAL : 27-31 JULI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IFERROR(__xludf.DUMMYFUNCTION("IMPORTRANGE(""https://docs.google.com/spreadsheets/d/17TnzcKnlaqlAyM_3lnNpgK5CAOPbscCCRVH50X8UulY/edit?usp=sharing"",""JULI!B95:D114"")"),"EPUL")</f>
        <v>EPUL</v>
      </c>
      <c r="D109" s="27" t="str">
        <f>IFERROR(__xludf.DUMMYFUNCTION("""COMPUTED_VALUE"""),"KEPALA")</f>
        <v>KEPALA</v>
      </c>
      <c r="E109" s="28"/>
      <c r="F109" s="52">
        <f>IFERROR(__xludf.DUMMYFUNCTION("IMPORTRANGE(""https://docs.google.com/spreadsheets/d/17TnzcKnlaqlAyM_3lnNpgK5CAOPbscCCRVH50X8UulY/edit?usp=sharing"",""JULI!K95:K113"")"),0.0)</f>
        <v>0</v>
      </c>
      <c r="G109" s="130">
        <v>110000.0</v>
      </c>
      <c r="H109" s="31">
        <f t="shared" ref="H109:H130" si="31">F109*G109</f>
        <v>0</v>
      </c>
      <c r="I109" s="31">
        <f t="shared" ref="I109:I130" si="32">F109*10000</f>
        <v>0</v>
      </c>
      <c r="J109" s="32" t="str">
        <f t="shared" ref="J109:J130" si="33">IF(E109="SHIFT 2",I109,"")</f>
        <v/>
      </c>
      <c r="K109" s="32"/>
      <c r="L109" s="33">
        <f t="shared" ref="L109:L130" si="34">U109*$L$108</f>
        <v>0</v>
      </c>
      <c r="M109" s="32"/>
      <c r="N109" s="32"/>
      <c r="O109" s="34">
        <f t="shared" ref="O109:O130" si="35">SUM(H109:N109)</f>
        <v>0</v>
      </c>
      <c r="P109" s="132"/>
      <c r="Q109" s="36"/>
      <c r="R109" s="37">
        <f t="shared" ref="R109:R130" si="36">SUM(P109:Q109)</f>
        <v>0</v>
      </c>
      <c r="S109" s="38">
        <f t="shared" ref="S109:S130" si="37">O109-R109</f>
        <v>0</v>
      </c>
      <c r="T109" s="39" t="str">
        <f>IFERROR(__xludf.DUMMYFUNCTION("IMPORTRANGE(""https://docs.google.com/spreadsheets/d/17TnzcKnlaqlAyM_3lnNpgK5CAOPbscCCRVH50X8UulY/edit?usp=sharing"",""JULI!L95:L114"")"),"")</f>
        <v/>
      </c>
      <c r="U109" s="42">
        <f>IFERROR(__xludf.DUMMYFUNCTION("IMPORTRANGE(""https://docs.google.com/spreadsheets/d/17TnzcKnlaqlAyM_3lnNpgK5CAOPbscCCRVH50X8UulY/edit?usp=sharing"",""JULI!U95:U114"")"),0.0)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/>
      <c r="F110" s="52">
        <f>IFERROR(__xludf.DUMMYFUNCTION("""COMPUTED_VALUE"""),0.0)</f>
        <v>0</v>
      </c>
      <c r="G110" s="130">
        <v>70000.0</v>
      </c>
      <c r="H110" s="31">
        <f t="shared" si="31"/>
        <v>0</v>
      </c>
      <c r="I110" s="31">
        <f t="shared" si="32"/>
        <v>0</v>
      </c>
      <c r="J110" s="32" t="str">
        <f t="shared" si="33"/>
        <v/>
      </c>
      <c r="K110" s="41"/>
      <c r="L110" s="33">
        <f t="shared" si="34"/>
        <v>0</v>
      </c>
      <c r="M110" s="41"/>
      <c r="N110" s="41"/>
      <c r="O110" s="34">
        <f t="shared" si="35"/>
        <v>0</v>
      </c>
      <c r="P110" s="35"/>
      <c r="Q110" s="36"/>
      <c r="R110" s="37">
        <f t="shared" si="36"/>
        <v>0</v>
      </c>
      <c r="S110" s="38">
        <f t="shared" si="37"/>
        <v>0</v>
      </c>
      <c r="T110" s="39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 t="str">
        <f>IFERROR(__xludf.DUMMYFUNCTION("""COMPUTED_VALUE"""),"KHRYSSAN")</f>
        <v>KHRYSSAN</v>
      </c>
      <c r="D111" s="27" t="str">
        <f>IFERROR(__xludf.DUMMYFUNCTION("""COMPUTED_VALUE"""),"ADMIN")</f>
        <v>ADMIN</v>
      </c>
      <c r="E111" s="28"/>
      <c r="F111" s="52">
        <f>IFERROR(__xludf.DUMMYFUNCTION("""COMPUTED_VALUE"""),0.0)</f>
        <v>0</v>
      </c>
      <c r="G111" s="130">
        <v>70000.0</v>
      </c>
      <c r="H111" s="31">
        <f t="shared" si="31"/>
        <v>0</v>
      </c>
      <c r="I111" s="31">
        <f t="shared" si="32"/>
        <v>0</v>
      </c>
      <c r="J111" s="32" t="str">
        <f t="shared" si="33"/>
        <v/>
      </c>
      <c r="K111" s="41"/>
      <c r="L111" s="33">
        <f t="shared" si="34"/>
        <v>0</v>
      </c>
      <c r="M111" s="41"/>
      <c r="N111" s="41"/>
      <c r="O111" s="34">
        <f t="shared" si="35"/>
        <v>0</v>
      </c>
      <c r="P111" s="35"/>
      <c r="Q111" s="36"/>
      <c r="R111" s="37">
        <f t="shared" si="36"/>
        <v>0</v>
      </c>
      <c r="S111" s="38">
        <f t="shared" si="37"/>
        <v>0</v>
      </c>
      <c r="T111" s="39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IFERROR(__xludf.DUMMYFUNCTION("""COMPUTED_VALUE"""),"ANDRI")</f>
        <v>ANDRI</v>
      </c>
      <c r="D112" s="27" t="str">
        <f>IFERROR(__xludf.DUMMYFUNCTION("""COMPUTED_VALUE"""),"DESIGN BORDIR")</f>
        <v>DESIGN BORDIR</v>
      </c>
      <c r="E112" s="28"/>
      <c r="F112" s="52">
        <f>IFERROR(__xludf.DUMMYFUNCTION("""COMPUTED_VALUE"""),0.0)</f>
        <v>0</v>
      </c>
      <c r="G112" s="130">
        <v>70000.0</v>
      </c>
      <c r="H112" s="31">
        <f t="shared" si="31"/>
        <v>0</v>
      </c>
      <c r="I112" s="31">
        <f t="shared" si="32"/>
        <v>0</v>
      </c>
      <c r="J112" s="32" t="str">
        <f t="shared" si="33"/>
        <v/>
      </c>
      <c r="K112" s="32"/>
      <c r="L112" s="33">
        <f t="shared" si="34"/>
        <v>0</v>
      </c>
      <c r="M112" s="32"/>
      <c r="N112" s="32"/>
      <c r="O112" s="34">
        <f t="shared" si="35"/>
        <v>0</v>
      </c>
      <c r="P112" s="35"/>
      <c r="Q112" s="36"/>
      <c r="R112" s="37">
        <f t="shared" si="36"/>
        <v>0</v>
      </c>
      <c r="S112" s="38">
        <f t="shared" si="37"/>
        <v>0</v>
      </c>
      <c r="T112" s="39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IFERROR(__xludf.DUMMYFUNCTION("""COMPUTED_VALUE"""),"ADIT")</f>
        <v>ADIT</v>
      </c>
      <c r="D113" s="27" t="str">
        <f>IFERROR(__xludf.DUMMYFUNCTION("""COMPUTED_VALUE"""),"CREATOR")</f>
        <v>CREATOR</v>
      </c>
      <c r="E113" s="28"/>
      <c r="F113" s="52">
        <f>IFERROR(__xludf.DUMMYFUNCTION("""COMPUTED_VALUE"""),0.0)</f>
        <v>0</v>
      </c>
      <c r="G113" s="130">
        <v>50000.0</v>
      </c>
      <c r="H113" s="31">
        <f t="shared" si="31"/>
        <v>0</v>
      </c>
      <c r="I113" s="31">
        <f t="shared" si="32"/>
        <v>0</v>
      </c>
      <c r="J113" s="32" t="str">
        <f t="shared" si="33"/>
        <v/>
      </c>
      <c r="K113" s="32"/>
      <c r="L113" s="33">
        <f t="shared" si="34"/>
        <v>0</v>
      </c>
      <c r="M113" s="32"/>
      <c r="N113" s="32"/>
      <c r="O113" s="34">
        <f t="shared" si="35"/>
        <v>0</v>
      </c>
      <c r="P113" s="36"/>
      <c r="Q113" s="36"/>
      <c r="R113" s="37">
        <f t="shared" si="36"/>
        <v>0</v>
      </c>
      <c r="S113" s="38">
        <f t="shared" si="37"/>
        <v>0</v>
      </c>
      <c r="T113" s="39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/>
      <c r="F114" s="52">
        <f>IFERROR(__xludf.DUMMYFUNCTION("""COMPUTED_VALUE"""),0.0)</f>
        <v>0</v>
      </c>
      <c r="G114" s="130">
        <v>70000.0</v>
      </c>
      <c r="H114" s="31">
        <f t="shared" si="31"/>
        <v>0</v>
      </c>
      <c r="I114" s="31">
        <f t="shared" si="32"/>
        <v>0</v>
      </c>
      <c r="J114" s="32" t="str">
        <f t="shared" si="33"/>
        <v/>
      </c>
      <c r="K114" s="32"/>
      <c r="L114" s="33">
        <f t="shared" si="34"/>
        <v>0</v>
      </c>
      <c r="M114" s="32"/>
      <c r="N114" s="32"/>
      <c r="O114" s="34">
        <f t="shared" si="35"/>
        <v>0</v>
      </c>
      <c r="P114" s="36"/>
      <c r="Q114" s="36"/>
      <c r="R114" s="37">
        <f t="shared" si="36"/>
        <v>0</v>
      </c>
      <c r="S114" s="38">
        <f t="shared" si="37"/>
        <v>0</v>
      </c>
      <c r="T114" s="39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/>
      <c r="F115" s="52">
        <f>IFERROR(__xludf.DUMMYFUNCTION("""COMPUTED_VALUE"""),0.0)</f>
        <v>0</v>
      </c>
      <c r="G115" s="130">
        <v>70000.0</v>
      </c>
      <c r="H115" s="31">
        <f t="shared" si="31"/>
        <v>0</v>
      </c>
      <c r="I115" s="31">
        <f t="shared" si="32"/>
        <v>0</v>
      </c>
      <c r="J115" s="32" t="str">
        <f t="shared" si="33"/>
        <v/>
      </c>
      <c r="K115" s="32"/>
      <c r="L115" s="33">
        <f t="shared" si="34"/>
        <v>0</v>
      </c>
      <c r="M115" s="32"/>
      <c r="N115" s="32"/>
      <c r="O115" s="34">
        <f t="shared" si="35"/>
        <v>0</v>
      </c>
      <c r="P115" s="36"/>
      <c r="Q115" s="36"/>
      <c r="R115" s="37">
        <f t="shared" si="36"/>
        <v>0</v>
      </c>
      <c r="S115" s="38">
        <f t="shared" si="37"/>
        <v>0</v>
      </c>
      <c r="T115" s="39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/>
      <c r="F116" s="52">
        <f>IFERROR(__xludf.DUMMYFUNCTION("""COMPUTED_VALUE"""),0.0)</f>
        <v>0</v>
      </c>
      <c r="G116" s="130">
        <v>50000.0</v>
      </c>
      <c r="H116" s="31">
        <f t="shared" si="31"/>
        <v>0</v>
      </c>
      <c r="I116" s="31">
        <f t="shared" si="32"/>
        <v>0</v>
      </c>
      <c r="J116" s="32" t="str">
        <f t="shared" si="33"/>
        <v/>
      </c>
      <c r="K116" s="32"/>
      <c r="L116" s="33">
        <f t="shared" si="34"/>
        <v>0</v>
      </c>
      <c r="M116" s="32"/>
      <c r="N116" s="32"/>
      <c r="O116" s="34">
        <f t="shared" si="35"/>
        <v>0</v>
      </c>
      <c r="P116" s="36"/>
      <c r="Q116" s="36"/>
      <c r="R116" s="37">
        <f t="shared" si="36"/>
        <v>0</v>
      </c>
      <c r="S116" s="38">
        <f t="shared" si="37"/>
        <v>0</v>
      </c>
      <c r="T116" s="39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/>
      <c r="F117" s="52">
        <f>IFERROR(__xludf.DUMMYFUNCTION("""COMPUTED_VALUE"""),0.0)</f>
        <v>0</v>
      </c>
      <c r="G117" s="130">
        <v>50000.0</v>
      </c>
      <c r="H117" s="31">
        <f t="shared" si="31"/>
        <v>0</v>
      </c>
      <c r="I117" s="31">
        <f t="shared" si="32"/>
        <v>0</v>
      </c>
      <c r="J117" s="32" t="str">
        <f t="shared" si="33"/>
        <v/>
      </c>
      <c r="K117" s="32"/>
      <c r="L117" s="33">
        <f t="shared" si="34"/>
        <v>0</v>
      </c>
      <c r="M117" s="32"/>
      <c r="N117" s="32"/>
      <c r="O117" s="34">
        <f t="shared" si="35"/>
        <v>0</v>
      </c>
      <c r="P117" s="36"/>
      <c r="Q117" s="36"/>
      <c r="R117" s="37">
        <f t="shared" si="36"/>
        <v>0</v>
      </c>
      <c r="S117" s="38">
        <f t="shared" si="37"/>
        <v>0</v>
      </c>
      <c r="T117" s="39"/>
      <c r="U117" s="42">
        <f>IFERROR(__xludf.DUMMYFUNCTION("""COMPUTED_VALUE"""),0.0)</f>
        <v>0</v>
      </c>
    </row>
    <row r="118" ht="37.5" customHeight="1">
      <c r="B118" s="25">
        <v>10.0</v>
      </c>
      <c r="C118" s="26" t="str">
        <f>IFERROR(__xludf.DUMMYFUNCTION("""COMPUTED_VALUE"""),"IIS")</f>
        <v>IIS</v>
      </c>
      <c r="D118" s="27" t="str">
        <f>IFERROR(__xludf.DUMMYFUNCTION("""COMPUTED_VALUE"""),"PACKING")</f>
        <v>PACKING</v>
      </c>
      <c r="E118" s="51"/>
      <c r="F118" s="52">
        <f>IFERROR(__xludf.DUMMYFUNCTION("""COMPUTED_VALUE"""),0.0)</f>
        <v>0</v>
      </c>
      <c r="G118" s="130">
        <v>70000.0</v>
      </c>
      <c r="H118" s="31">
        <f t="shared" si="31"/>
        <v>0</v>
      </c>
      <c r="I118" s="31">
        <f t="shared" si="32"/>
        <v>0</v>
      </c>
      <c r="J118" s="32" t="str">
        <f t="shared" si="33"/>
        <v/>
      </c>
      <c r="K118" s="32"/>
      <c r="L118" s="33">
        <f t="shared" si="34"/>
        <v>0</v>
      </c>
      <c r="M118" s="32"/>
      <c r="N118" s="32"/>
      <c r="O118" s="34">
        <f t="shared" si="35"/>
        <v>0</v>
      </c>
      <c r="P118" s="36"/>
      <c r="Q118" s="36"/>
      <c r="R118" s="37">
        <f t="shared" si="36"/>
        <v>0</v>
      </c>
      <c r="S118" s="38">
        <f t="shared" si="37"/>
        <v>0</v>
      </c>
      <c r="T118" s="39"/>
      <c r="U118" s="42">
        <f>IFERROR(__xludf.DUMMYFUNCTION("""COMPUTED_VALUE"""),0.0)</f>
        <v>0</v>
      </c>
    </row>
    <row r="119" ht="37.5" customHeight="1">
      <c r="B119" s="25">
        <v>11.0</v>
      </c>
      <c r="C119" s="49"/>
      <c r="D119" s="50"/>
      <c r="E119" s="51"/>
      <c r="F119" s="52">
        <f>IFERROR(__xludf.DUMMYFUNCTION("""COMPUTED_VALUE"""),0.0)</f>
        <v>0</v>
      </c>
      <c r="G119" s="45"/>
      <c r="H119" s="31">
        <f t="shared" si="31"/>
        <v>0</v>
      </c>
      <c r="I119" s="31">
        <f t="shared" si="32"/>
        <v>0</v>
      </c>
      <c r="J119" s="32" t="str">
        <f t="shared" si="33"/>
        <v/>
      </c>
      <c r="K119" s="32"/>
      <c r="L119" s="33">
        <f t="shared" si="34"/>
        <v>0</v>
      </c>
      <c r="M119" s="32"/>
      <c r="N119" s="32"/>
      <c r="O119" s="34">
        <f t="shared" si="35"/>
        <v>0</v>
      </c>
      <c r="P119" s="44"/>
      <c r="Q119" s="44"/>
      <c r="R119" s="37">
        <f t="shared" si="36"/>
        <v>0</v>
      </c>
      <c r="S119" s="38">
        <f t="shared" si="37"/>
        <v>0</v>
      </c>
      <c r="T119" s="39"/>
      <c r="U119" s="42">
        <f>IFERROR(__xludf.DUMMYFUNCTION("""COMPUTED_VALUE"""),0.0)</f>
        <v>0</v>
      </c>
    </row>
    <row r="120" ht="37.5" customHeight="1">
      <c r="B120" s="25">
        <v>12.0</v>
      </c>
      <c r="C120" s="49"/>
      <c r="D120" s="50"/>
      <c r="E120" s="51"/>
      <c r="F120" s="52">
        <f>IFERROR(__xludf.DUMMYFUNCTION("""COMPUTED_VALUE"""),0.0)</f>
        <v>0</v>
      </c>
      <c r="G120" s="45"/>
      <c r="H120" s="31">
        <f t="shared" si="31"/>
        <v>0</v>
      </c>
      <c r="I120" s="31">
        <f t="shared" si="32"/>
        <v>0</v>
      </c>
      <c r="J120" s="32" t="str">
        <f t="shared" si="33"/>
        <v/>
      </c>
      <c r="K120" s="32"/>
      <c r="L120" s="33">
        <f t="shared" si="34"/>
        <v>0</v>
      </c>
      <c r="M120" s="32"/>
      <c r="N120" s="32"/>
      <c r="O120" s="34">
        <f t="shared" si="35"/>
        <v>0</v>
      </c>
      <c r="P120" s="44"/>
      <c r="Q120" s="44"/>
      <c r="R120" s="37">
        <f t="shared" si="36"/>
        <v>0</v>
      </c>
      <c r="S120" s="38">
        <f t="shared" si="37"/>
        <v>0</v>
      </c>
      <c r="T120" s="39"/>
      <c r="U120" s="42">
        <f>IFERROR(__xludf.DUMMYFUNCTION("""COMPUTED_VALUE"""),0.0)</f>
        <v>0</v>
      </c>
    </row>
    <row r="121" ht="37.5" customHeight="1">
      <c r="B121" s="25">
        <v>13.0</v>
      </c>
      <c r="C121" s="49"/>
      <c r="D121" s="50"/>
      <c r="E121" s="51"/>
      <c r="F121" s="52">
        <f>IFERROR(__xludf.DUMMYFUNCTION("""COMPUTED_VALUE"""),0.0)</f>
        <v>0</v>
      </c>
      <c r="G121" s="45"/>
      <c r="H121" s="31">
        <f t="shared" si="31"/>
        <v>0</v>
      </c>
      <c r="I121" s="31">
        <f t="shared" si="32"/>
        <v>0</v>
      </c>
      <c r="J121" s="32" t="str">
        <f t="shared" si="33"/>
        <v/>
      </c>
      <c r="K121" s="32"/>
      <c r="L121" s="33">
        <f t="shared" si="34"/>
        <v>0</v>
      </c>
      <c r="M121" s="32"/>
      <c r="N121" s="32"/>
      <c r="O121" s="34">
        <f t="shared" si="35"/>
        <v>0</v>
      </c>
      <c r="P121" s="44"/>
      <c r="Q121" s="44"/>
      <c r="R121" s="37">
        <f t="shared" si="36"/>
        <v>0</v>
      </c>
      <c r="S121" s="38">
        <f t="shared" si="37"/>
        <v>0</v>
      </c>
      <c r="T121" s="39"/>
      <c r="U121" s="42">
        <f>IFERROR(__xludf.DUMMYFUNCTION("""COMPUTED_VALUE"""),0.0)</f>
        <v>0</v>
      </c>
    </row>
    <row r="122" ht="37.5" customHeight="1">
      <c r="B122" s="25">
        <v>14.0</v>
      </c>
      <c r="C122" s="49"/>
      <c r="D122" s="50"/>
      <c r="E122" s="51"/>
      <c r="F122" s="52">
        <f>IFERROR(__xludf.DUMMYFUNCTION("""COMPUTED_VALUE"""),0.0)</f>
        <v>0</v>
      </c>
      <c r="G122" s="45"/>
      <c r="H122" s="31">
        <f t="shared" si="31"/>
        <v>0</v>
      </c>
      <c r="I122" s="31">
        <f t="shared" si="32"/>
        <v>0</v>
      </c>
      <c r="J122" s="32" t="str">
        <f t="shared" si="33"/>
        <v/>
      </c>
      <c r="K122" s="32"/>
      <c r="L122" s="33">
        <f t="shared" si="34"/>
        <v>0</v>
      </c>
      <c r="M122" s="32"/>
      <c r="N122" s="32"/>
      <c r="O122" s="34">
        <f t="shared" si="35"/>
        <v>0</v>
      </c>
      <c r="P122" s="44"/>
      <c r="Q122" s="44"/>
      <c r="R122" s="37">
        <f t="shared" si="36"/>
        <v>0</v>
      </c>
      <c r="S122" s="38">
        <f t="shared" si="37"/>
        <v>0</v>
      </c>
      <c r="T122" s="39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0"/>
      <c r="E123" s="51"/>
      <c r="F123" s="52">
        <f>IFERROR(__xludf.DUMMYFUNCTION("""COMPUTED_VALUE"""),0.0)</f>
        <v>0</v>
      </c>
      <c r="G123" s="45"/>
      <c r="H123" s="31">
        <f t="shared" si="31"/>
        <v>0</v>
      </c>
      <c r="I123" s="31">
        <f t="shared" si="32"/>
        <v>0</v>
      </c>
      <c r="J123" s="32" t="str">
        <f t="shared" si="33"/>
        <v/>
      </c>
      <c r="K123" s="32"/>
      <c r="L123" s="33">
        <f t="shared" si="34"/>
        <v>0</v>
      </c>
      <c r="M123" s="32"/>
      <c r="N123" s="32"/>
      <c r="O123" s="34">
        <f t="shared" si="35"/>
        <v>0</v>
      </c>
      <c r="P123" s="44"/>
      <c r="Q123" s="44"/>
      <c r="R123" s="37">
        <f t="shared" si="36"/>
        <v>0</v>
      </c>
      <c r="S123" s="38">
        <f t="shared" si="37"/>
        <v>0</v>
      </c>
      <c r="T123" s="39"/>
      <c r="U123" s="42">
        <f>IFERROR(__xludf.DUMMYFUNCTION("""COMPUTED_VALUE"""),0.0)</f>
        <v>0</v>
      </c>
    </row>
    <row r="124" ht="37.5" customHeight="1">
      <c r="B124" s="25">
        <v>16.0</v>
      </c>
      <c r="C124" s="49"/>
      <c r="D124" s="50"/>
      <c r="E124" s="51"/>
      <c r="F124" s="52">
        <f>IFERROR(__xludf.DUMMYFUNCTION("""COMPUTED_VALUE"""),0.0)</f>
        <v>0</v>
      </c>
      <c r="G124" s="45"/>
      <c r="H124" s="31">
        <f t="shared" si="31"/>
        <v>0</v>
      </c>
      <c r="I124" s="31">
        <f t="shared" si="32"/>
        <v>0</v>
      </c>
      <c r="J124" s="32" t="str">
        <f t="shared" si="33"/>
        <v/>
      </c>
      <c r="K124" s="32"/>
      <c r="L124" s="33">
        <f t="shared" si="34"/>
        <v>0</v>
      </c>
      <c r="M124" s="32"/>
      <c r="N124" s="32"/>
      <c r="O124" s="34">
        <f t="shared" si="35"/>
        <v>0</v>
      </c>
      <c r="P124" s="44"/>
      <c r="Q124" s="44"/>
      <c r="R124" s="37">
        <f t="shared" si="36"/>
        <v>0</v>
      </c>
      <c r="S124" s="38">
        <f t="shared" si="37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49"/>
      <c r="D125" s="50"/>
      <c r="E125" s="51"/>
      <c r="F125" s="52">
        <f>IFERROR(__xludf.DUMMYFUNCTION("""COMPUTED_VALUE"""),0.0)</f>
        <v>0</v>
      </c>
      <c r="G125" s="45"/>
      <c r="H125" s="31">
        <f t="shared" si="31"/>
        <v>0</v>
      </c>
      <c r="I125" s="31">
        <f t="shared" si="32"/>
        <v>0</v>
      </c>
      <c r="J125" s="32" t="str">
        <f t="shared" si="33"/>
        <v/>
      </c>
      <c r="K125" s="32"/>
      <c r="L125" s="33">
        <f t="shared" si="34"/>
        <v>0</v>
      </c>
      <c r="M125" s="32"/>
      <c r="N125" s="32"/>
      <c r="O125" s="34">
        <f t="shared" si="35"/>
        <v>0</v>
      </c>
      <c r="P125" s="44"/>
      <c r="Q125" s="44"/>
      <c r="R125" s="37">
        <f t="shared" si="36"/>
        <v>0</v>
      </c>
      <c r="S125" s="38">
        <f t="shared" si="37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1"/>
        <v>0</v>
      </c>
      <c r="I126" s="31">
        <f t="shared" si="32"/>
        <v>0</v>
      </c>
      <c r="J126" s="32" t="str">
        <f t="shared" si="33"/>
        <v/>
      </c>
      <c r="K126" s="32"/>
      <c r="L126" s="33">
        <f t="shared" si="34"/>
        <v>0</v>
      </c>
      <c r="M126" s="32"/>
      <c r="N126" s="32"/>
      <c r="O126" s="34">
        <f t="shared" si="35"/>
        <v>0</v>
      </c>
      <c r="P126" s="44"/>
      <c r="Q126" s="44"/>
      <c r="R126" s="37">
        <f t="shared" si="36"/>
        <v>0</v>
      </c>
      <c r="S126" s="38">
        <f t="shared" si="37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1"/>
        <v>0</v>
      </c>
      <c r="I127" s="31">
        <f t="shared" si="32"/>
        <v>0</v>
      </c>
      <c r="J127" s="32" t="str">
        <f t="shared" si="33"/>
        <v/>
      </c>
      <c r="K127" s="32"/>
      <c r="L127" s="33">
        <f t="shared" si="34"/>
        <v>0</v>
      </c>
      <c r="M127" s="32"/>
      <c r="N127" s="32"/>
      <c r="O127" s="34">
        <f t="shared" si="35"/>
        <v>0</v>
      </c>
      <c r="P127" s="44"/>
      <c r="Q127" s="44"/>
      <c r="R127" s="37">
        <f t="shared" si="36"/>
        <v>0</v>
      </c>
      <c r="S127" s="38">
        <f t="shared" si="37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1"/>
        <v>0</v>
      </c>
      <c r="I128" s="31">
        <f t="shared" si="32"/>
        <v>0</v>
      </c>
      <c r="J128" s="32" t="str">
        <f t="shared" si="33"/>
        <v/>
      </c>
      <c r="K128" s="32"/>
      <c r="L128" s="33">
        <f t="shared" si="34"/>
        <v>0</v>
      </c>
      <c r="M128" s="32"/>
      <c r="N128" s="32"/>
      <c r="O128" s="34">
        <f t="shared" si="35"/>
        <v>0</v>
      </c>
      <c r="P128" s="44"/>
      <c r="Q128" s="44"/>
      <c r="R128" s="37">
        <f t="shared" si="36"/>
        <v>0</v>
      </c>
      <c r="S128" s="38">
        <f t="shared" si="37"/>
        <v>0</v>
      </c>
      <c r="T128" s="51"/>
      <c r="U128" s="42">
        <f>IFERROR(__xludf.DUMMYFUNCTION("""COMPUTED_VALUE"""),0.0)</f>
        <v>0</v>
      </c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1"/>
        <v>0</v>
      </c>
      <c r="I129" s="31">
        <f t="shared" si="32"/>
        <v>0</v>
      </c>
      <c r="J129" s="32" t="str">
        <f t="shared" si="33"/>
        <v/>
      </c>
      <c r="K129" s="32"/>
      <c r="L129" s="33">
        <f t="shared" si="34"/>
        <v>0</v>
      </c>
      <c r="M129" s="32"/>
      <c r="N129" s="32"/>
      <c r="O129" s="34">
        <f t="shared" si="35"/>
        <v>0</v>
      </c>
      <c r="P129" s="44"/>
      <c r="Q129" s="44"/>
      <c r="R129" s="37">
        <f t="shared" si="36"/>
        <v>0</v>
      </c>
      <c r="S129" s="38">
        <f t="shared" si="37"/>
        <v>0</v>
      </c>
      <c r="T129" s="51"/>
      <c r="U129" s="42"/>
    </row>
    <row r="130" ht="37.5" customHeight="1">
      <c r="B130" s="25">
        <v>22.0</v>
      </c>
      <c r="C130" s="49"/>
      <c r="D130" s="51"/>
      <c r="E130" s="51"/>
      <c r="F130" s="42"/>
      <c r="G130" s="53"/>
      <c r="H130" s="31">
        <f t="shared" si="31"/>
        <v>0</v>
      </c>
      <c r="I130" s="31">
        <f t="shared" si="32"/>
        <v>0</v>
      </c>
      <c r="J130" s="32" t="str">
        <f t="shared" si="33"/>
        <v/>
      </c>
      <c r="K130" s="32"/>
      <c r="L130" s="33">
        <f t="shared" si="34"/>
        <v>0</v>
      </c>
      <c r="M130" s="32"/>
      <c r="N130" s="32"/>
      <c r="O130" s="34">
        <f t="shared" si="35"/>
        <v>0</v>
      </c>
      <c r="P130" s="44"/>
      <c r="Q130" s="44"/>
      <c r="R130" s="37">
        <f t="shared" si="36"/>
        <v>0</v>
      </c>
      <c r="S130" s="38">
        <f t="shared" si="37"/>
        <v>0</v>
      </c>
      <c r="T130" s="51"/>
      <c r="U130" s="42"/>
    </row>
    <row r="131">
      <c r="B131" s="54"/>
      <c r="F131" s="55" t="s">
        <v>21</v>
      </c>
      <c r="S131" s="56">
        <f>SUM(S109:S130)</f>
        <v>0</v>
      </c>
      <c r="T131" s="57"/>
      <c r="U131" s="58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>
      <c r="B133" s="67" t="s">
        <v>21</v>
      </c>
      <c r="F133" s="68">
        <f>S31+S56+S81+S106+S131</f>
        <v>6040000</v>
      </c>
      <c r="T133" s="69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IFERROR(__xludf.DUMMYFUNCTION("IMPORTRANGE(""https://docs.google.com/spreadsheets/d/17TnzcKnlaqlAyM_3lnNpgK5CAOPbscCCRVH50X8UulY/edit?usp=sharing"",""AGUSTUS!B2"")"),46235.0)</f>
        <v>46235</v>
      </c>
      <c r="C2" s="2"/>
      <c r="D2" s="2"/>
      <c r="E2" s="3"/>
      <c r="F2" s="126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29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129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IFERROR(__xludf.DUMMYFUNCTION("IMPORTRANGE(""https://docs.google.com/spreadsheets/d/17TnzcKnlaqlAyM_3lnNpgK5CAOPbscCCRVH50X8UulY/edit?usp=sharing"",""AGUSTUS!B6"")"),"TANGGAL : 1 AGUSTUS 2026")</f>
        <v>TANGGAL : 1 AGUSTUS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IFERROR(__xludf.DUMMYFUNCTION("IMPORTRANGE(""https://docs.google.com/spreadsheets/d/17TnzcKnlaqlAyM_3lnNpgK5CAOPbscCCRVH50X8UulY/edit?usp=sharing"",""AGUSTUS!B7:D26"")"),"EPUL")</f>
        <v>EPUL</v>
      </c>
      <c r="D9" s="27" t="str">
        <f>IFERROR(__xludf.DUMMYFUNCTION("""COMPUTED_VALUE"""),"KEPALA")</f>
        <v>KEPALA</v>
      </c>
      <c r="E9" s="28"/>
      <c r="F9" s="52">
        <f>IFERROR(__xludf.DUMMYFUNCTION("IMPORTRANGE(""https://docs.google.com/spreadsheets/d/17TnzcKnlaqlAyM_3lnNpgK5CAOPbscCCRVH50X8UulY/edit?usp=sharing"",""AGUSTUS!K7:K25"")"),0.0)</f>
        <v>0</v>
      </c>
      <c r="G9" s="30">
        <v>110000.0</v>
      </c>
      <c r="H9" s="31">
        <f t="shared" ref="H9:H30" si="1">F9*G9</f>
        <v>0</v>
      </c>
      <c r="I9" s="31">
        <f t="shared" ref="I9:I30" si="2">F9*10000</f>
        <v>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0</v>
      </c>
      <c r="P9" s="44"/>
      <c r="Q9" s="44"/>
      <c r="R9" s="37">
        <f t="shared" ref="R9:R30" si="6">SUM(P9:Q9)</f>
        <v>0</v>
      </c>
      <c r="S9" s="38">
        <f t="shared" ref="S9:S30" si="7">O9-R9</f>
        <v>0</v>
      </c>
      <c r="T9" s="39" t="str">
        <f>IFERROR(__xludf.DUMMYFUNCTION("IMPORTRANGE(""https://docs.google.com/spreadsheets/d/17TnzcKnlaqlAyM_3lnNpgK5CAOPbscCCRVH50X8UulY/edit?usp=sharing"",""AGUSTUS!L7:L26"")"),"")</f>
        <v/>
      </c>
      <c r="U9" s="42">
        <f>IFERROR(__xludf.DUMMYFUNCTION("IMPORTRANGE(""https://docs.google.com/spreadsheets/d/17TnzcKnlaqlAyM_3lnNpgK5CAOPbscCCRVH50X8UulY/edit?usp=sharing"",""AGUSTUS!U7:U26"")"),0.0)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/>
      <c r="F10" s="52">
        <f>IFERROR(__xludf.DUMMYFUNCTION("""COMPUTED_VALUE"""),0.0)</f>
        <v>0</v>
      </c>
      <c r="G10" s="30">
        <v>70000.0</v>
      </c>
      <c r="H10" s="31">
        <f t="shared" si="1"/>
        <v>0</v>
      </c>
      <c r="I10" s="31">
        <f t="shared" si="2"/>
        <v>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0</v>
      </c>
      <c r="P10" s="44"/>
      <c r="Q10" s="44"/>
      <c r="R10" s="37">
        <f t="shared" si="6"/>
        <v>0</v>
      </c>
      <c r="S10" s="38">
        <f t="shared" si="7"/>
        <v>0</v>
      </c>
      <c r="T10" s="3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 t="str">
        <f>IFERROR(__xludf.DUMMYFUNCTION("""COMPUTED_VALUE"""),"KHRYSSAN")</f>
        <v>KHRYSSAN</v>
      </c>
      <c r="D11" s="27" t="str">
        <f>IFERROR(__xludf.DUMMYFUNCTION("""COMPUTED_VALUE"""),"ADMIN")</f>
        <v>ADMIN</v>
      </c>
      <c r="E11" s="28"/>
      <c r="F11" s="52">
        <f>IFERROR(__xludf.DUMMYFUNCTION("""COMPUTED_VALUE"""),0.0)</f>
        <v>0</v>
      </c>
      <c r="G11" s="30">
        <v>70000.0</v>
      </c>
      <c r="H11" s="31">
        <f t="shared" si="1"/>
        <v>0</v>
      </c>
      <c r="I11" s="31">
        <f t="shared" si="2"/>
        <v>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0</v>
      </c>
      <c r="P11" s="44"/>
      <c r="Q11" s="44"/>
      <c r="R11" s="37">
        <f t="shared" si="6"/>
        <v>0</v>
      </c>
      <c r="S11" s="38">
        <f t="shared" si="7"/>
        <v>0</v>
      </c>
      <c r="T11" s="3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IFERROR(__xludf.DUMMYFUNCTION("""COMPUTED_VALUE"""),"ANDRI")</f>
        <v>ANDRI</v>
      </c>
      <c r="D12" s="27" t="str">
        <f>IFERROR(__xludf.DUMMYFUNCTION("""COMPUTED_VALUE"""),"DESIGN BORDIR")</f>
        <v>DESIGN BORDIR</v>
      </c>
      <c r="E12" s="28"/>
      <c r="F12" s="52">
        <f>IFERROR(__xludf.DUMMYFUNCTION("""COMPUTED_VALUE"""),0.0)</f>
        <v>0</v>
      </c>
      <c r="G12" s="30">
        <v>70000.0</v>
      </c>
      <c r="H12" s="31">
        <f t="shared" si="1"/>
        <v>0</v>
      </c>
      <c r="I12" s="31">
        <f t="shared" si="2"/>
        <v>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0</v>
      </c>
      <c r="P12" s="44"/>
      <c r="Q12" s="44"/>
      <c r="R12" s="37">
        <f t="shared" si="6"/>
        <v>0</v>
      </c>
      <c r="S12" s="38">
        <f t="shared" si="7"/>
        <v>0</v>
      </c>
      <c r="T12" s="39"/>
      <c r="U12" s="42">
        <f>IFERROR(__xludf.DUMMYFUNCTION("""COMPUTED_VALUE"""),0.0)</f>
        <v>0</v>
      </c>
      <c r="V12" s="134"/>
      <c r="W12" s="24"/>
    </row>
    <row r="13" ht="37.5" customHeight="1">
      <c r="A13" s="24"/>
      <c r="B13" s="25">
        <v>5.0</v>
      </c>
      <c r="C13" s="26" t="str">
        <f>IFERROR(__xludf.DUMMYFUNCTION("""COMPUTED_VALUE"""),"ADIT")</f>
        <v>ADIT</v>
      </c>
      <c r="D13" s="27" t="str">
        <f>IFERROR(__xludf.DUMMYFUNCTION("""COMPUTED_VALUE"""),"CREATOR")</f>
        <v>CREATOR</v>
      </c>
      <c r="E13" s="28"/>
      <c r="F13" s="52">
        <f>IFERROR(__xludf.DUMMYFUNCTION("""COMPUTED_VALUE"""),0.0)</f>
        <v>0</v>
      </c>
      <c r="G13" s="30">
        <v>50000.0</v>
      </c>
      <c r="H13" s="31">
        <f t="shared" si="1"/>
        <v>0</v>
      </c>
      <c r="I13" s="31">
        <f t="shared" si="2"/>
        <v>0</v>
      </c>
      <c r="J13" s="32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0</v>
      </c>
      <c r="P13" s="44"/>
      <c r="Q13" s="44"/>
      <c r="R13" s="37">
        <f t="shared" si="6"/>
        <v>0</v>
      </c>
      <c r="S13" s="38">
        <f t="shared" si="7"/>
        <v>0</v>
      </c>
      <c r="T13" s="39"/>
      <c r="U13" s="42">
        <f>IFERROR(__xludf.DUMMYFUNCTION("""COMPUTED_VALUE"""),0.0)</f>
        <v>0</v>
      </c>
      <c r="V13" s="134"/>
      <c r="W13" s="24"/>
    </row>
    <row r="14" ht="37.5" customHeight="1">
      <c r="A14" s="24"/>
      <c r="B14" s="25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/>
      <c r="F14" s="52">
        <f>IFERROR(__xludf.DUMMYFUNCTION("""COMPUTED_VALUE"""),0.0)</f>
        <v>0</v>
      </c>
      <c r="G14" s="30">
        <v>70000.0</v>
      </c>
      <c r="H14" s="31">
        <f t="shared" si="1"/>
        <v>0</v>
      </c>
      <c r="I14" s="31">
        <f t="shared" si="2"/>
        <v>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0</v>
      </c>
      <c r="P14" s="44"/>
      <c r="Q14" s="44"/>
      <c r="R14" s="37">
        <f t="shared" si="6"/>
        <v>0</v>
      </c>
      <c r="S14" s="38">
        <f t="shared" si="7"/>
        <v>0</v>
      </c>
      <c r="T14" s="39"/>
      <c r="U14" s="42">
        <f>IFERROR(__xludf.DUMMYFUNCTION("""COMPUTED_VALUE"""),0.0)</f>
        <v>0</v>
      </c>
      <c r="V14" s="135"/>
      <c r="W14" s="24"/>
    </row>
    <row r="15" ht="37.5" customHeight="1">
      <c r="A15" s="24"/>
      <c r="B15" s="25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/>
      <c r="F15" s="52">
        <f>IFERROR(__xludf.DUMMYFUNCTION("""COMPUTED_VALUE"""),0.0)</f>
        <v>0</v>
      </c>
      <c r="G15" s="30">
        <v>70000.0</v>
      </c>
      <c r="H15" s="31">
        <f t="shared" si="1"/>
        <v>0</v>
      </c>
      <c r="I15" s="31">
        <f t="shared" si="2"/>
        <v>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0</v>
      </c>
      <c r="P15" s="44"/>
      <c r="Q15" s="44"/>
      <c r="R15" s="37">
        <f t="shared" si="6"/>
        <v>0</v>
      </c>
      <c r="S15" s="38">
        <f t="shared" si="7"/>
        <v>0</v>
      </c>
      <c r="T15" s="39"/>
      <c r="U15" s="42">
        <f>IFERROR(__xludf.DUMMYFUNCTION("""COMPUTED_VALUE"""),0.0)</f>
        <v>0</v>
      </c>
      <c r="V15" s="135"/>
      <c r="W15" s="24"/>
    </row>
    <row r="16" ht="37.5" customHeight="1">
      <c r="A16" s="24"/>
      <c r="B16" s="25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/>
      <c r="F16" s="52">
        <f>IFERROR(__xludf.DUMMYFUNCTION("""COMPUTED_VALUE"""),0.0)</f>
        <v>0</v>
      </c>
      <c r="G16" s="30">
        <v>50000.0</v>
      </c>
      <c r="H16" s="31">
        <f t="shared" si="1"/>
        <v>0</v>
      </c>
      <c r="I16" s="31">
        <f t="shared" si="2"/>
        <v>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0</v>
      </c>
      <c r="P16" s="44"/>
      <c r="Q16" s="44"/>
      <c r="R16" s="37">
        <f t="shared" si="6"/>
        <v>0</v>
      </c>
      <c r="S16" s="38">
        <f t="shared" si="7"/>
        <v>0</v>
      </c>
      <c r="T16" s="39"/>
      <c r="U16" s="42">
        <f>IFERROR(__xludf.DUMMYFUNCTION("""COMPUTED_VALUE"""),0.0)</f>
        <v>0</v>
      </c>
      <c r="V16" s="134"/>
      <c r="W16" s="24"/>
    </row>
    <row r="17" ht="37.5" customHeight="1">
      <c r="A17" s="24"/>
      <c r="B17" s="25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28"/>
      <c r="F17" s="52">
        <f>IFERROR(__xludf.DUMMYFUNCTION("""COMPUTED_VALUE"""),0.0)</f>
        <v>0</v>
      </c>
      <c r="G17" s="30">
        <v>50000.0</v>
      </c>
      <c r="H17" s="31">
        <f t="shared" si="1"/>
        <v>0</v>
      </c>
      <c r="I17" s="31">
        <f t="shared" si="2"/>
        <v>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0</v>
      </c>
      <c r="P17" s="44"/>
      <c r="Q17" s="44"/>
      <c r="R17" s="37">
        <f t="shared" si="6"/>
        <v>0</v>
      </c>
      <c r="S17" s="38">
        <f t="shared" si="7"/>
        <v>0</v>
      </c>
      <c r="T17" s="39"/>
      <c r="U17" s="42">
        <f>IFERROR(__xludf.DUMMYFUNCTION("""COMPUTED_VALUE"""),0.0)</f>
        <v>0</v>
      </c>
      <c r="V17" s="134"/>
      <c r="W17" s="24"/>
    </row>
    <row r="18" ht="37.5" customHeight="1">
      <c r="A18" s="24"/>
      <c r="B18" s="25">
        <v>10.0</v>
      </c>
      <c r="C18" s="49" t="str">
        <f>IFERROR(__xludf.DUMMYFUNCTION("""COMPUTED_VALUE"""),"IIS")</f>
        <v>IIS</v>
      </c>
      <c r="D18" s="27" t="str">
        <f>IFERROR(__xludf.DUMMYFUNCTION("""COMPUTED_VALUE"""),"PACKING")</f>
        <v>PACKING</v>
      </c>
      <c r="E18" s="51"/>
      <c r="F18" s="52">
        <f>IFERROR(__xludf.DUMMYFUNCTION("""COMPUTED_VALUE"""),0.0)</f>
        <v>0</v>
      </c>
      <c r="G18" s="45"/>
      <c r="H18" s="31">
        <f t="shared" si="1"/>
        <v>0</v>
      </c>
      <c r="I18" s="31">
        <f t="shared" si="2"/>
        <v>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0</v>
      </c>
      <c r="P18" s="44"/>
      <c r="Q18" s="44"/>
      <c r="R18" s="37">
        <f t="shared" si="6"/>
        <v>0</v>
      </c>
      <c r="S18" s="38">
        <f t="shared" si="7"/>
        <v>0</v>
      </c>
      <c r="T18" s="39"/>
      <c r="U18" s="42">
        <f>IFERROR(__xludf.DUMMYFUNCTION("""COMPUTED_VALUE"""),0.0)</f>
        <v>0</v>
      </c>
      <c r="V18" s="13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44"/>
      <c r="Q19" s="44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134"/>
      <c r="W19" s="24"/>
    </row>
    <row r="20" ht="37.5" customHeight="1">
      <c r="A20" s="24"/>
      <c r="B20" s="25">
        <v>12.0</v>
      </c>
      <c r="C20" s="49"/>
      <c r="D20" s="50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44"/>
      <c r="Q20" s="44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13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 t="str">
        <f t="shared" ref="J21:J22" si="8">IF(E21="SHIFT 2",I21,"")</f>
        <v/>
      </c>
      <c r="K21" s="32"/>
      <c r="L21" s="33">
        <f t="shared" si="4"/>
        <v>0</v>
      </c>
      <c r="M21" s="32"/>
      <c r="N21" s="32"/>
      <c r="O21" s="34">
        <f t="shared" si="5"/>
        <v>0</v>
      </c>
      <c r="P21" s="44"/>
      <c r="Q21" s="44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13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 t="shared" si="8"/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44"/>
      <c r="Q22" s="44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13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13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136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9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136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9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136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9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9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9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9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B31" s="54"/>
      <c r="F31" s="55" t="s">
        <v>21</v>
      </c>
      <c r="S31" s="56">
        <f>SUM(S9:S30)</f>
        <v>0</v>
      </c>
      <c r="T31" s="57"/>
      <c r="U31" s="58"/>
    </row>
    <row r="32" ht="37.5" customHeight="1"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ht="37.5" customHeight="1">
      <c r="A33" s="24"/>
      <c r="B33" s="21" t="str">
        <f>IFERROR(__xludf.DUMMYFUNCTION("IMPORTRANGE(""https://docs.google.com/spreadsheets/d/17TnzcKnlaqlAyM_3lnNpgK5CAOPbscCCRVH50X8UulY/edit?usp=sharing"",""AGUSTUS!B28"")"),"TANGGAL : 3-8 AGUSTUS 2026")</f>
        <v>TANGGAL : 3-8 AGUSTUS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IFERROR(__xludf.DUMMYFUNCTION("IMPORTRANGE(""https://docs.google.com/spreadsheets/d/17TnzcKnlaqlAyM_3lnNpgK5CAOPbscCCRVH50X8UulY/edit?usp=sharing"",""AGUSTUS!B29:D48"")"),"EPUL")</f>
        <v>EPUL</v>
      </c>
      <c r="D34" s="27" t="str">
        <f>IFERROR(__xludf.DUMMYFUNCTION("""COMPUTED_VALUE"""),"KEPALA")</f>
        <v>KEPALA</v>
      </c>
      <c r="E34" s="28"/>
      <c r="F34" s="52">
        <f>IFERROR(__xludf.DUMMYFUNCTION("IMPORTRANGE(""https://docs.google.com/spreadsheets/d/17TnzcKnlaqlAyM_3lnNpgK5CAOPbscCCRVH50X8UulY/edit?usp=sharing"",""AGUSTUS!K29:K47"")"),0.0)</f>
        <v>0</v>
      </c>
      <c r="G34" s="30">
        <v>110000.0</v>
      </c>
      <c r="H34" s="31">
        <f t="shared" ref="H34:H55" si="10">F34*G34</f>
        <v>0</v>
      </c>
      <c r="I34" s="31">
        <f t="shared" ref="I34:I55" si="11">F34*10000</f>
        <v>0</v>
      </c>
      <c r="J34" s="32" t="str">
        <f t="shared" ref="J34:J55" si="12">IF(E34="SHIFT 2",I34,"")</f>
        <v/>
      </c>
      <c r="K34" s="32"/>
      <c r="L34" s="33">
        <f t="shared" ref="L34:L55" si="13">U34*$L$33</f>
        <v>0</v>
      </c>
      <c r="M34" s="32"/>
      <c r="N34" s="32"/>
      <c r="O34" s="34">
        <f t="shared" ref="O34:O55" si="14">SUM(H34:N34)</f>
        <v>0</v>
      </c>
      <c r="P34" s="44"/>
      <c r="Q34" s="44"/>
      <c r="R34" s="37">
        <f t="shared" ref="R34:R55" si="15">SUM(P34:Q34)</f>
        <v>0</v>
      </c>
      <c r="S34" s="38">
        <f t="shared" ref="S34:S55" si="16">O34-R34</f>
        <v>0</v>
      </c>
      <c r="T34" s="39" t="str">
        <f>IFERROR(__xludf.DUMMYFUNCTION("IMPORTRANGE(""https://docs.google.com/spreadsheets/d/17TnzcKnlaqlAyM_3lnNpgK5CAOPbscCCRVH50X8UulY/edit?usp=sharing"",""AGUSTUS!L29:L48"")"),"")</f>
        <v/>
      </c>
      <c r="U34" s="42">
        <f>IFERROR(__xludf.DUMMYFUNCTION("IMPORTRANGE(""https://docs.google.com/spreadsheets/d/17TnzcKnlaqlAyM_3lnNpgK5CAOPbscCCRVH50X8UulY/edit?usp=sharing"",""AGUSTUS!U29:U48"")"),0.0)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/>
      <c r="F35" s="52">
        <f>IFERROR(__xludf.DUMMYFUNCTION("""COMPUTED_VALUE"""),0.0)</f>
        <v>0</v>
      </c>
      <c r="G35" s="30">
        <v>70000.0</v>
      </c>
      <c r="H35" s="31">
        <f t="shared" si="10"/>
        <v>0</v>
      </c>
      <c r="I35" s="31">
        <f t="shared" si="11"/>
        <v>0</v>
      </c>
      <c r="J35" s="32" t="str">
        <f t="shared" si="12"/>
        <v/>
      </c>
      <c r="K35" s="41"/>
      <c r="L35" s="33">
        <f t="shared" si="13"/>
        <v>0</v>
      </c>
      <c r="M35" s="41"/>
      <c r="N35" s="41"/>
      <c r="O35" s="34">
        <f t="shared" si="14"/>
        <v>0</v>
      </c>
      <c r="P35" s="44"/>
      <c r="Q35" s="44"/>
      <c r="R35" s="37">
        <f t="shared" si="15"/>
        <v>0</v>
      </c>
      <c r="S35" s="38">
        <f t="shared" si="16"/>
        <v>0</v>
      </c>
      <c r="T35" s="39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 t="str">
        <f>IFERROR(__xludf.DUMMYFUNCTION("""COMPUTED_VALUE"""),"KHRYSSAN")</f>
        <v>KHRYSSAN</v>
      </c>
      <c r="D36" s="27" t="str">
        <f>IFERROR(__xludf.DUMMYFUNCTION("""COMPUTED_VALUE"""),"ADMIN")</f>
        <v>ADMIN</v>
      </c>
      <c r="E36" s="28"/>
      <c r="F36" s="52">
        <f>IFERROR(__xludf.DUMMYFUNCTION("""COMPUTED_VALUE"""),0.0)</f>
        <v>0</v>
      </c>
      <c r="G36" s="30">
        <v>70000.0</v>
      </c>
      <c r="H36" s="31">
        <f t="shared" si="10"/>
        <v>0</v>
      </c>
      <c r="I36" s="31">
        <f t="shared" si="11"/>
        <v>0</v>
      </c>
      <c r="J36" s="32" t="str">
        <f t="shared" si="12"/>
        <v/>
      </c>
      <c r="K36" s="41"/>
      <c r="L36" s="33">
        <f t="shared" si="13"/>
        <v>0</v>
      </c>
      <c r="M36" s="41"/>
      <c r="N36" s="41"/>
      <c r="O36" s="34">
        <f t="shared" si="14"/>
        <v>0</v>
      </c>
      <c r="P36" s="44"/>
      <c r="Q36" s="44"/>
      <c r="R36" s="37">
        <f t="shared" si="15"/>
        <v>0</v>
      </c>
      <c r="S36" s="38">
        <f t="shared" si="16"/>
        <v>0</v>
      </c>
      <c r="T36" s="39"/>
      <c r="U36" s="42">
        <f>IFERROR(__xludf.DUMMYFUNCTION("""COMPUTED_VALUE"""),0.0)</f>
        <v>0</v>
      </c>
      <c r="V36" s="24"/>
      <c r="W36" s="24"/>
    </row>
    <row r="37" ht="37.5" customHeight="1">
      <c r="A37" s="24"/>
      <c r="B37" s="25">
        <v>4.0</v>
      </c>
      <c r="C37" s="26" t="str">
        <f>IFERROR(__xludf.DUMMYFUNCTION("""COMPUTED_VALUE"""),"ANDRI")</f>
        <v>ANDRI</v>
      </c>
      <c r="D37" s="27" t="str">
        <f>IFERROR(__xludf.DUMMYFUNCTION("""COMPUTED_VALUE"""),"DESIGN BORDIR")</f>
        <v>DESIGN BORDIR</v>
      </c>
      <c r="E37" s="28"/>
      <c r="F37" s="52">
        <f>IFERROR(__xludf.DUMMYFUNCTION("""COMPUTED_VALUE"""),0.0)</f>
        <v>0</v>
      </c>
      <c r="G37" s="30">
        <v>70000.0</v>
      </c>
      <c r="H37" s="31">
        <f t="shared" si="10"/>
        <v>0</v>
      </c>
      <c r="I37" s="31">
        <f t="shared" si="11"/>
        <v>0</v>
      </c>
      <c r="J37" s="32" t="str">
        <f t="shared" si="12"/>
        <v/>
      </c>
      <c r="K37" s="32"/>
      <c r="L37" s="33">
        <f t="shared" si="13"/>
        <v>0</v>
      </c>
      <c r="M37" s="32"/>
      <c r="N37" s="32"/>
      <c r="O37" s="34">
        <f t="shared" si="14"/>
        <v>0</v>
      </c>
      <c r="P37" s="44"/>
      <c r="Q37" s="44"/>
      <c r="R37" s="37">
        <f t="shared" si="15"/>
        <v>0</v>
      </c>
      <c r="S37" s="38">
        <f t="shared" si="16"/>
        <v>0</v>
      </c>
      <c r="T37" s="39"/>
      <c r="U37" s="42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6" t="str">
        <f>IFERROR(__xludf.DUMMYFUNCTION("""COMPUTED_VALUE"""),"ADIT")</f>
        <v>ADIT</v>
      </c>
      <c r="D38" s="27" t="str">
        <f>IFERROR(__xludf.DUMMYFUNCTION("""COMPUTED_VALUE"""),"CREATOR")</f>
        <v>CREATOR</v>
      </c>
      <c r="E38" s="28"/>
      <c r="F38" s="52">
        <f>IFERROR(__xludf.DUMMYFUNCTION("""COMPUTED_VALUE"""),0.0)</f>
        <v>0</v>
      </c>
      <c r="G38" s="30">
        <v>50000.0</v>
      </c>
      <c r="H38" s="31">
        <f t="shared" si="10"/>
        <v>0</v>
      </c>
      <c r="I38" s="31">
        <f t="shared" si="11"/>
        <v>0</v>
      </c>
      <c r="J38" s="32" t="str">
        <f t="shared" si="12"/>
        <v/>
      </c>
      <c r="K38" s="32"/>
      <c r="L38" s="33">
        <f t="shared" si="13"/>
        <v>0</v>
      </c>
      <c r="M38" s="32"/>
      <c r="N38" s="32"/>
      <c r="O38" s="34">
        <f t="shared" si="14"/>
        <v>0</v>
      </c>
      <c r="P38" s="44"/>
      <c r="Q38" s="44"/>
      <c r="R38" s="37">
        <f t="shared" si="15"/>
        <v>0</v>
      </c>
      <c r="S38" s="38">
        <f t="shared" si="16"/>
        <v>0</v>
      </c>
      <c r="T38" s="39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/>
      <c r="F39" s="52">
        <f>IFERROR(__xludf.DUMMYFUNCTION("""COMPUTED_VALUE"""),0.0)</f>
        <v>0</v>
      </c>
      <c r="G39" s="30">
        <v>70000.0</v>
      </c>
      <c r="H39" s="31">
        <f t="shared" si="10"/>
        <v>0</v>
      </c>
      <c r="I39" s="31">
        <f t="shared" si="11"/>
        <v>0</v>
      </c>
      <c r="J39" s="32" t="str">
        <f t="shared" si="12"/>
        <v/>
      </c>
      <c r="K39" s="32"/>
      <c r="L39" s="33">
        <f t="shared" si="13"/>
        <v>0</v>
      </c>
      <c r="M39" s="32"/>
      <c r="N39" s="32"/>
      <c r="O39" s="34">
        <f t="shared" si="14"/>
        <v>0</v>
      </c>
      <c r="P39" s="44"/>
      <c r="Q39" s="44"/>
      <c r="R39" s="37">
        <f t="shared" si="15"/>
        <v>0</v>
      </c>
      <c r="S39" s="38">
        <f t="shared" si="16"/>
        <v>0</v>
      </c>
      <c r="T39" s="39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/>
      <c r="F40" s="52">
        <f>IFERROR(__xludf.DUMMYFUNCTION("""COMPUTED_VALUE"""),0.0)</f>
        <v>0</v>
      </c>
      <c r="G40" s="30">
        <v>70000.0</v>
      </c>
      <c r="H40" s="31">
        <f t="shared" si="10"/>
        <v>0</v>
      </c>
      <c r="I40" s="31">
        <f t="shared" si="11"/>
        <v>0</v>
      </c>
      <c r="J40" s="32" t="str">
        <f t="shared" si="12"/>
        <v/>
      </c>
      <c r="K40" s="32"/>
      <c r="L40" s="33">
        <f t="shared" si="13"/>
        <v>0</v>
      </c>
      <c r="M40" s="32"/>
      <c r="N40" s="32"/>
      <c r="O40" s="34">
        <f t="shared" si="14"/>
        <v>0</v>
      </c>
      <c r="P40" s="44"/>
      <c r="Q40" s="44"/>
      <c r="R40" s="37">
        <f t="shared" si="15"/>
        <v>0</v>
      </c>
      <c r="S40" s="38">
        <f t="shared" si="16"/>
        <v>0</v>
      </c>
      <c r="T40" s="39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/>
      <c r="F41" s="52">
        <f>IFERROR(__xludf.DUMMYFUNCTION("""COMPUTED_VALUE"""),0.0)</f>
        <v>0</v>
      </c>
      <c r="G41" s="30">
        <v>50000.0</v>
      </c>
      <c r="H41" s="31">
        <f t="shared" si="10"/>
        <v>0</v>
      </c>
      <c r="I41" s="31">
        <f t="shared" si="11"/>
        <v>0</v>
      </c>
      <c r="J41" s="32" t="str">
        <f t="shared" si="12"/>
        <v/>
      </c>
      <c r="K41" s="32"/>
      <c r="L41" s="33">
        <f t="shared" si="13"/>
        <v>0</v>
      </c>
      <c r="M41" s="32"/>
      <c r="N41" s="32"/>
      <c r="O41" s="34">
        <f t="shared" si="14"/>
        <v>0</v>
      </c>
      <c r="P41" s="44"/>
      <c r="Q41" s="44"/>
      <c r="R41" s="37">
        <f t="shared" si="15"/>
        <v>0</v>
      </c>
      <c r="S41" s="38">
        <f t="shared" si="16"/>
        <v>0</v>
      </c>
      <c r="T41" s="39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/>
      <c r="F42" s="52">
        <f>IFERROR(__xludf.DUMMYFUNCTION("""COMPUTED_VALUE"""),0.0)</f>
        <v>0</v>
      </c>
      <c r="G42" s="30">
        <v>50000.0</v>
      </c>
      <c r="H42" s="31">
        <f t="shared" si="10"/>
        <v>0</v>
      </c>
      <c r="I42" s="31">
        <f t="shared" si="11"/>
        <v>0</v>
      </c>
      <c r="J42" s="32" t="str">
        <f t="shared" si="12"/>
        <v/>
      </c>
      <c r="K42" s="32"/>
      <c r="L42" s="33">
        <f t="shared" si="13"/>
        <v>0</v>
      </c>
      <c r="M42" s="32"/>
      <c r="N42" s="32"/>
      <c r="O42" s="34">
        <f t="shared" si="14"/>
        <v>0</v>
      </c>
      <c r="P42" s="44"/>
      <c r="Q42" s="44"/>
      <c r="R42" s="37">
        <f t="shared" si="15"/>
        <v>0</v>
      </c>
      <c r="S42" s="38">
        <f t="shared" si="16"/>
        <v>0</v>
      </c>
      <c r="T42" s="39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49" t="str">
        <f>IFERROR(__xludf.DUMMYFUNCTION("""COMPUTED_VALUE"""),"IIS")</f>
        <v>IIS</v>
      </c>
      <c r="D43" s="27" t="str">
        <f>IFERROR(__xludf.DUMMYFUNCTION("""COMPUTED_VALUE"""),"PACKING")</f>
        <v>PACKING</v>
      </c>
      <c r="E43" s="51"/>
      <c r="F43" s="52">
        <f>IFERROR(__xludf.DUMMYFUNCTION("""COMPUTED_VALUE"""),0.0)</f>
        <v>0</v>
      </c>
      <c r="G43" s="45"/>
      <c r="H43" s="31">
        <f t="shared" si="10"/>
        <v>0</v>
      </c>
      <c r="I43" s="31">
        <f t="shared" si="11"/>
        <v>0</v>
      </c>
      <c r="J43" s="32" t="str">
        <f t="shared" si="12"/>
        <v/>
      </c>
      <c r="K43" s="32"/>
      <c r="L43" s="33">
        <f t="shared" si="13"/>
        <v>0</v>
      </c>
      <c r="M43" s="32"/>
      <c r="N43" s="32"/>
      <c r="O43" s="34">
        <f t="shared" si="14"/>
        <v>0</v>
      </c>
      <c r="P43" s="44"/>
      <c r="Q43" s="44"/>
      <c r="R43" s="37">
        <f t="shared" si="15"/>
        <v>0</v>
      </c>
      <c r="S43" s="38">
        <f t="shared" si="16"/>
        <v>0</v>
      </c>
      <c r="T43" s="39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10"/>
        <v>0</v>
      </c>
      <c r="I44" s="31">
        <f t="shared" si="11"/>
        <v>0</v>
      </c>
      <c r="J44" s="32" t="str">
        <f t="shared" si="12"/>
        <v/>
      </c>
      <c r="K44" s="32"/>
      <c r="L44" s="33">
        <f t="shared" si="13"/>
        <v>0</v>
      </c>
      <c r="M44" s="32"/>
      <c r="N44" s="32"/>
      <c r="O44" s="34">
        <f t="shared" si="14"/>
        <v>0</v>
      </c>
      <c r="P44" s="44"/>
      <c r="Q44" s="44"/>
      <c r="R44" s="37">
        <f t="shared" si="15"/>
        <v>0</v>
      </c>
      <c r="S44" s="38">
        <f t="shared" si="16"/>
        <v>0</v>
      </c>
      <c r="T44" s="39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26"/>
      <c r="D45" s="27"/>
      <c r="E45" s="28"/>
      <c r="F45" s="52">
        <f>IFERROR(__xludf.DUMMYFUNCTION("""COMPUTED_VALUE"""),0.0)</f>
        <v>0</v>
      </c>
      <c r="G45" s="45"/>
      <c r="H45" s="31">
        <f t="shared" si="10"/>
        <v>0</v>
      </c>
      <c r="I45" s="31">
        <f t="shared" si="11"/>
        <v>0</v>
      </c>
      <c r="J45" s="32" t="str">
        <f t="shared" si="12"/>
        <v/>
      </c>
      <c r="K45" s="32"/>
      <c r="L45" s="33">
        <f t="shared" si="13"/>
        <v>0</v>
      </c>
      <c r="M45" s="32"/>
      <c r="N45" s="32"/>
      <c r="O45" s="34">
        <f t="shared" si="14"/>
        <v>0</v>
      </c>
      <c r="P45" s="44"/>
      <c r="Q45" s="44"/>
      <c r="R45" s="37">
        <f t="shared" si="15"/>
        <v>0</v>
      </c>
      <c r="S45" s="38">
        <f t="shared" si="16"/>
        <v>0</v>
      </c>
      <c r="T45" s="39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10"/>
        <v>0</v>
      </c>
      <c r="I46" s="31">
        <f t="shared" si="11"/>
        <v>0</v>
      </c>
      <c r="J46" s="32" t="str">
        <f t="shared" si="12"/>
        <v/>
      </c>
      <c r="K46" s="32"/>
      <c r="L46" s="33">
        <f t="shared" si="13"/>
        <v>0</v>
      </c>
      <c r="M46" s="32"/>
      <c r="N46" s="32"/>
      <c r="O46" s="34">
        <f t="shared" si="14"/>
        <v>0</v>
      </c>
      <c r="P46" s="44"/>
      <c r="Q46" s="44"/>
      <c r="R46" s="37">
        <f t="shared" si="15"/>
        <v>0</v>
      </c>
      <c r="S46" s="38">
        <f t="shared" si="16"/>
        <v>0</v>
      </c>
      <c r="T46" s="39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10"/>
        <v>0</v>
      </c>
      <c r="I47" s="31">
        <f t="shared" si="11"/>
        <v>0</v>
      </c>
      <c r="J47" s="32" t="str">
        <f t="shared" si="12"/>
        <v/>
      </c>
      <c r="K47" s="32"/>
      <c r="L47" s="33">
        <f t="shared" si="13"/>
        <v>0</v>
      </c>
      <c r="M47" s="32"/>
      <c r="N47" s="32"/>
      <c r="O47" s="34">
        <f t="shared" si="14"/>
        <v>0</v>
      </c>
      <c r="P47" s="44"/>
      <c r="Q47" s="44"/>
      <c r="R47" s="37">
        <f t="shared" si="15"/>
        <v>0</v>
      </c>
      <c r="S47" s="38">
        <f t="shared" si="16"/>
        <v>0</v>
      </c>
      <c r="T47" s="39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10"/>
        <v>0</v>
      </c>
      <c r="I48" s="31">
        <f t="shared" si="11"/>
        <v>0</v>
      </c>
      <c r="J48" s="32" t="str">
        <f t="shared" si="12"/>
        <v/>
      </c>
      <c r="K48" s="32"/>
      <c r="L48" s="33">
        <f t="shared" si="13"/>
        <v>0</v>
      </c>
      <c r="M48" s="32"/>
      <c r="N48" s="32"/>
      <c r="O48" s="34">
        <f t="shared" si="14"/>
        <v>0</v>
      </c>
      <c r="P48" s="44"/>
      <c r="Q48" s="44"/>
      <c r="R48" s="37">
        <f t="shared" si="15"/>
        <v>0</v>
      </c>
      <c r="S48" s="38">
        <f t="shared" si="16"/>
        <v>0</v>
      </c>
      <c r="T48" s="39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10"/>
        <v>0</v>
      </c>
      <c r="I49" s="31">
        <f t="shared" si="11"/>
        <v>0</v>
      </c>
      <c r="J49" s="32" t="str">
        <f t="shared" si="12"/>
        <v/>
      </c>
      <c r="K49" s="32"/>
      <c r="L49" s="33">
        <f t="shared" si="13"/>
        <v>0</v>
      </c>
      <c r="M49" s="32"/>
      <c r="N49" s="32"/>
      <c r="O49" s="34">
        <f t="shared" si="14"/>
        <v>0</v>
      </c>
      <c r="P49" s="44"/>
      <c r="Q49" s="44"/>
      <c r="R49" s="37">
        <f t="shared" si="15"/>
        <v>0</v>
      </c>
      <c r="S49" s="38">
        <f t="shared" si="16"/>
        <v>0</v>
      </c>
      <c r="T49" s="39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10"/>
        <v>0</v>
      </c>
      <c r="I50" s="31">
        <f t="shared" si="11"/>
        <v>0</v>
      </c>
      <c r="J50" s="32" t="str">
        <f t="shared" si="12"/>
        <v/>
      </c>
      <c r="K50" s="32"/>
      <c r="L50" s="33">
        <f t="shared" si="13"/>
        <v>0</v>
      </c>
      <c r="M50" s="32"/>
      <c r="N50" s="32"/>
      <c r="O50" s="34">
        <f t="shared" si="14"/>
        <v>0</v>
      </c>
      <c r="P50" s="44"/>
      <c r="Q50" s="44"/>
      <c r="R50" s="37">
        <f t="shared" si="15"/>
        <v>0</v>
      </c>
      <c r="S50" s="38">
        <f t="shared" si="16"/>
        <v>0</v>
      </c>
      <c r="T50" s="39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10"/>
        <v>0</v>
      </c>
      <c r="I51" s="31">
        <f t="shared" si="11"/>
        <v>0</v>
      </c>
      <c r="J51" s="32" t="str">
        <f t="shared" si="12"/>
        <v/>
      </c>
      <c r="K51" s="32"/>
      <c r="L51" s="33">
        <f t="shared" si="13"/>
        <v>0</v>
      </c>
      <c r="M51" s="32"/>
      <c r="N51" s="32"/>
      <c r="O51" s="34">
        <f t="shared" si="14"/>
        <v>0</v>
      </c>
      <c r="P51" s="44"/>
      <c r="Q51" s="44"/>
      <c r="R51" s="37">
        <f t="shared" si="15"/>
        <v>0</v>
      </c>
      <c r="S51" s="38">
        <f t="shared" si="16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10"/>
        <v>0</v>
      </c>
      <c r="I52" s="31">
        <f t="shared" si="11"/>
        <v>0</v>
      </c>
      <c r="J52" s="32" t="str">
        <f t="shared" si="12"/>
        <v/>
      </c>
      <c r="K52" s="32"/>
      <c r="L52" s="33">
        <f t="shared" si="13"/>
        <v>0</v>
      </c>
      <c r="M52" s="32"/>
      <c r="N52" s="32"/>
      <c r="O52" s="34">
        <f t="shared" si="14"/>
        <v>0</v>
      </c>
      <c r="P52" s="44"/>
      <c r="Q52" s="44"/>
      <c r="R52" s="37">
        <f t="shared" si="15"/>
        <v>0</v>
      </c>
      <c r="S52" s="38">
        <f t="shared" si="16"/>
        <v>0</v>
      </c>
      <c r="T52" s="51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10"/>
        <v>0</v>
      </c>
      <c r="I53" s="31">
        <f t="shared" si="11"/>
        <v>0</v>
      </c>
      <c r="J53" s="32" t="str">
        <f t="shared" si="12"/>
        <v/>
      </c>
      <c r="K53" s="32"/>
      <c r="L53" s="33">
        <f t="shared" si="13"/>
        <v>0</v>
      </c>
      <c r="M53" s="32"/>
      <c r="N53" s="32"/>
      <c r="O53" s="34">
        <f t="shared" si="14"/>
        <v>0</v>
      </c>
      <c r="P53" s="44"/>
      <c r="Q53" s="44"/>
      <c r="R53" s="37">
        <f t="shared" si="15"/>
        <v>0</v>
      </c>
      <c r="S53" s="38">
        <f t="shared" si="16"/>
        <v>0</v>
      </c>
      <c r="T53" s="51"/>
      <c r="U53" s="42">
        <f>IFERROR(__xludf.DUMMYFUNCTION("""COMPUTED_VALUE"""),0.0)</f>
        <v>0</v>
      </c>
      <c r="V53" s="24"/>
      <c r="W53" s="24"/>
    </row>
    <row r="54" ht="37.5" customHeight="1">
      <c r="B54" s="25">
        <v>21.0</v>
      </c>
      <c r="C54" s="49"/>
      <c r="D54" s="51"/>
      <c r="E54" s="51"/>
      <c r="F54" s="42"/>
      <c r="G54" s="53"/>
      <c r="H54" s="31">
        <f t="shared" si="10"/>
        <v>0</v>
      </c>
      <c r="I54" s="31">
        <f t="shared" si="11"/>
        <v>0</v>
      </c>
      <c r="J54" s="32" t="str">
        <f t="shared" si="12"/>
        <v/>
      </c>
      <c r="K54" s="32"/>
      <c r="L54" s="33">
        <f t="shared" si="13"/>
        <v>0</v>
      </c>
      <c r="M54" s="32"/>
      <c r="N54" s="32"/>
      <c r="O54" s="34">
        <f t="shared" si="14"/>
        <v>0</v>
      </c>
      <c r="P54" s="44"/>
      <c r="Q54" s="44"/>
      <c r="R54" s="37">
        <f t="shared" si="15"/>
        <v>0</v>
      </c>
      <c r="S54" s="38">
        <f t="shared" si="16"/>
        <v>0</v>
      </c>
      <c r="T54" s="51"/>
      <c r="U54" s="42"/>
    </row>
    <row r="55" ht="37.5" customHeight="1">
      <c r="B55" s="25">
        <v>22.0</v>
      </c>
      <c r="C55" s="49"/>
      <c r="D55" s="51"/>
      <c r="E55" s="51"/>
      <c r="F55" s="42"/>
      <c r="G55" s="53"/>
      <c r="H55" s="31">
        <f t="shared" si="10"/>
        <v>0</v>
      </c>
      <c r="I55" s="31">
        <f t="shared" si="11"/>
        <v>0</v>
      </c>
      <c r="J55" s="32" t="str">
        <f t="shared" si="12"/>
        <v/>
      </c>
      <c r="K55" s="32"/>
      <c r="L55" s="33">
        <f t="shared" si="13"/>
        <v>0</v>
      </c>
      <c r="M55" s="32"/>
      <c r="N55" s="32"/>
      <c r="O55" s="34">
        <f t="shared" si="14"/>
        <v>0</v>
      </c>
      <c r="P55" s="44"/>
      <c r="Q55" s="44"/>
      <c r="R55" s="37">
        <f t="shared" si="15"/>
        <v>0</v>
      </c>
      <c r="S55" s="38">
        <f t="shared" si="16"/>
        <v>0</v>
      </c>
      <c r="T55" s="51"/>
      <c r="U55" s="42"/>
    </row>
    <row r="56" ht="37.5" customHeight="1">
      <c r="B56" s="54"/>
      <c r="F56" s="55" t="s">
        <v>21</v>
      </c>
      <c r="S56" s="56">
        <f>SUM(S34:S55)</f>
        <v>0</v>
      </c>
      <c r="T56" s="57"/>
      <c r="U56" s="58"/>
    </row>
    <row r="57" ht="37.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t="37.5" customHeight="1">
      <c r="B58" s="21" t="str">
        <f>IFERROR(__xludf.DUMMYFUNCTION("IMPORTRANGE(""https://docs.google.com/spreadsheets/d/17TnzcKnlaqlAyM_3lnNpgK5CAOPbscCCRVH50X8UulY/edit?usp=sharing"",""AGUSTUS!B50"")"),"TANGGAL : 10-15 AGUSTUS 2026")</f>
        <v>TANGGAL : 10-15 AGUSTUS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IFERROR(__xludf.DUMMYFUNCTION("IMPORTRANGE(""https://docs.google.com/spreadsheets/d/17TnzcKnlaqlAyM_3lnNpgK5CAOPbscCCRVH50X8UulY/edit?usp=sharing"",""AGUSTUS!B51:D70"")"),"EPUL")</f>
        <v>EPUL</v>
      </c>
      <c r="D59" s="27" t="str">
        <f>IFERROR(__xludf.DUMMYFUNCTION("""COMPUTED_VALUE"""),"KEPALA")</f>
        <v>KEPALA</v>
      </c>
      <c r="E59" s="28"/>
      <c r="F59" s="52">
        <f>IFERROR(__xludf.DUMMYFUNCTION("IMPORTRANGE(""https://docs.google.com/spreadsheets/d/17TnzcKnlaqlAyM_3lnNpgK5CAOPbscCCRVH50X8UulY/edit?usp=sharing"",""AGUSTUS!K51:K69"")"),0.0)</f>
        <v>0</v>
      </c>
      <c r="G59" s="30">
        <v>110000.0</v>
      </c>
      <c r="H59" s="31">
        <f t="shared" ref="H59:H80" si="17">F59*G59</f>
        <v>0</v>
      </c>
      <c r="I59" s="31">
        <f t="shared" ref="I59:I80" si="18">F59*10000</f>
        <v>0</v>
      </c>
      <c r="J59" s="32" t="str">
        <f t="shared" ref="J59:J80" si="19">IF(E59="SHIFT 2",I59,"")</f>
        <v/>
      </c>
      <c r="K59" s="32"/>
      <c r="L59" s="33">
        <f t="shared" ref="L59:L80" si="20">U59*$L$58</f>
        <v>0</v>
      </c>
      <c r="M59" s="32"/>
      <c r="N59" s="32"/>
      <c r="O59" s="34">
        <f t="shared" ref="O59:O80" si="21">SUM(H59:N59)</f>
        <v>0</v>
      </c>
      <c r="P59" s="44"/>
      <c r="Q59" s="44"/>
      <c r="R59" s="37">
        <f t="shared" ref="R59:R80" si="22">SUM(P59:Q59)</f>
        <v>0</v>
      </c>
      <c r="S59" s="38">
        <f t="shared" ref="S59:S80" si="23">O59-R59</f>
        <v>0</v>
      </c>
      <c r="T59" s="39" t="str">
        <f>IFERROR(__xludf.DUMMYFUNCTION("IMPORTRANGE(""https://docs.google.com/spreadsheets/d/17TnzcKnlaqlAyM_3lnNpgK5CAOPbscCCRVH50X8UulY/edit?usp=sharing"",""AGUSTUS!L51:L70"")"),"")</f>
        <v/>
      </c>
      <c r="U59" s="42">
        <f>IFERROR(__xludf.DUMMYFUNCTION("IMPORTRANGE(""https://docs.google.com/spreadsheets/d/17TnzcKnlaqlAyM_3lnNpgK5CAOPbscCCRVH50X8UulY/edit?usp=sharing"",""AGUSTUS!U51:U70"")"),0.0)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/>
      <c r="F60" s="52">
        <f>IFERROR(__xludf.DUMMYFUNCTION("""COMPUTED_VALUE"""),0.0)</f>
        <v>0</v>
      </c>
      <c r="G60" s="30">
        <v>70000.0</v>
      </c>
      <c r="H60" s="31">
        <f t="shared" si="17"/>
        <v>0</v>
      </c>
      <c r="I60" s="31">
        <f t="shared" si="18"/>
        <v>0</v>
      </c>
      <c r="J60" s="32" t="str">
        <f t="shared" si="19"/>
        <v/>
      </c>
      <c r="K60" s="41"/>
      <c r="L60" s="33">
        <f t="shared" si="20"/>
        <v>0</v>
      </c>
      <c r="M60" s="41"/>
      <c r="N60" s="41"/>
      <c r="O60" s="34">
        <f t="shared" si="21"/>
        <v>0</v>
      </c>
      <c r="P60" s="44"/>
      <c r="Q60" s="44"/>
      <c r="R60" s="37">
        <f t="shared" si="22"/>
        <v>0</v>
      </c>
      <c r="S60" s="38">
        <f t="shared" si="23"/>
        <v>0</v>
      </c>
      <c r="T60" s="39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 t="str">
        <f>IFERROR(__xludf.DUMMYFUNCTION("""COMPUTED_VALUE"""),"KHRYSSAN")</f>
        <v>KHRYSSAN</v>
      </c>
      <c r="D61" s="27" t="str">
        <f>IFERROR(__xludf.DUMMYFUNCTION("""COMPUTED_VALUE"""),"ADMIN")</f>
        <v>ADMIN</v>
      </c>
      <c r="E61" s="28"/>
      <c r="F61" s="52">
        <f>IFERROR(__xludf.DUMMYFUNCTION("""COMPUTED_VALUE"""),0.0)</f>
        <v>0</v>
      </c>
      <c r="G61" s="30">
        <v>70000.0</v>
      </c>
      <c r="H61" s="31">
        <f t="shared" si="17"/>
        <v>0</v>
      </c>
      <c r="I61" s="31">
        <f t="shared" si="18"/>
        <v>0</v>
      </c>
      <c r="J61" s="32" t="str">
        <f t="shared" si="19"/>
        <v/>
      </c>
      <c r="K61" s="41"/>
      <c r="L61" s="33">
        <f t="shared" si="20"/>
        <v>0</v>
      </c>
      <c r="M61" s="41"/>
      <c r="N61" s="41"/>
      <c r="O61" s="34">
        <f t="shared" si="21"/>
        <v>0</v>
      </c>
      <c r="P61" s="44"/>
      <c r="Q61" s="44"/>
      <c r="R61" s="37">
        <f t="shared" si="22"/>
        <v>0</v>
      </c>
      <c r="S61" s="38">
        <f t="shared" si="23"/>
        <v>0</v>
      </c>
      <c r="T61" s="39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IFERROR(__xludf.DUMMYFUNCTION("""COMPUTED_VALUE"""),"ANDRI")</f>
        <v>ANDRI</v>
      </c>
      <c r="D62" s="27" t="str">
        <f>IFERROR(__xludf.DUMMYFUNCTION("""COMPUTED_VALUE"""),"DESIGN BORDIR")</f>
        <v>DESIGN BORDIR</v>
      </c>
      <c r="E62" s="28"/>
      <c r="F62" s="52">
        <f>IFERROR(__xludf.DUMMYFUNCTION("""COMPUTED_VALUE"""),0.0)</f>
        <v>0</v>
      </c>
      <c r="G62" s="30">
        <v>70000.0</v>
      </c>
      <c r="H62" s="31">
        <f t="shared" si="17"/>
        <v>0</v>
      </c>
      <c r="I62" s="31">
        <f t="shared" si="18"/>
        <v>0</v>
      </c>
      <c r="J62" s="32" t="str">
        <f t="shared" si="19"/>
        <v/>
      </c>
      <c r="K62" s="32"/>
      <c r="L62" s="33">
        <f t="shared" si="20"/>
        <v>0</v>
      </c>
      <c r="M62" s="32"/>
      <c r="N62" s="32"/>
      <c r="O62" s="34">
        <f t="shared" si="21"/>
        <v>0</v>
      </c>
      <c r="P62" s="44"/>
      <c r="Q62" s="44"/>
      <c r="R62" s="37">
        <f t="shared" si="22"/>
        <v>0</v>
      </c>
      <c r="S62" s="38">
        <f t="shared" si="23"/>
        <v>0</v>
      </c>
      <c r="T62" s="39"/>
      <c r="U62" s="42">
        <f>IFERROR(__xludf.DUMMYFUNCTION("""COMPUTED_VALUE"""),0.0)</f>
        <v>0</v>
      </c>
      <c r="V62" s="63"/>
      <c r="W62" s="63"/>
    </row>
    <row r="63" ht="37.5" customHeight="1">
      <c r="B63" s="25">
        <v>5.0</v>
      </c>
      <c r="C63" s="26" t="str">
        <f>IFERROR(__xludf.DUMMYFUNCTION("""COMPUTED_VALUE"""),"ADIT")</f>
        <v>ADIT</v>
      </c>
      <c r="D63" s="27" t="str">
        <f>IFERROR(__xludf.DUMMYFUNCTION("""COMPUTED_VALUE"""),"CREATOR")</f>
        <v>CREATOR</v>
      </c>
      <c r="E63" s="28"/>
      <c r="F63" s="52">
        <f>IFERROR(__xludf.DUMMYFUNCTION("""COMPUTED_VALUE"""),0.0)</f>
        <v>0</v>
      </c>
      <c r="G63" s="30">
        <v>50000.0</v>
      </c>
      <c r="H63" s="31">
        <f t="shared" si="17"/>
        <v>0</v>
      </c>
      <c r="I63" s="31">
        <f t="shared" si="18"/>
        <v>0</v>
      </c>
      <c r="J63" s="32" t="str">
        <f t="shared" si="19"/>
        <v/>
      </c>
      <c r="K63" s="32"/>
      <c r="L63" s="33">
        <f t="shared" si="20"/>
        <v>0</v>
      </c>
      <c r="M63" s="32"/>
      <c r="N63" s="32"/>
      <c r="O63" s="34">
        <f t="shared" si="21"/>
        <v>0</v>
      </c>
      <c r="P63" s="44"/>
      <c r="Q63" s="44"/>
      <c r="R63" s="37">
        <f t="shared" si="22"/>
        <v>0</v>
      </c>
      <c r="S63" s="38">
        <f t="shared" si="23"/>
        <v>0</v>
      </c>
      <c r="T63" s="39"/>
      <c r="U63" s="42">
        <f>IFERROR(__xludf.DUMMYFUNCTION("""COMPUTED_VALUE"""),0.0)</f>
        <v>0</v>
      </c>
      <c r="V63" s="63"/>
      <c r="W63" s="63"/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/>
      <c r="F64" s="52">
        <f>IFERROR(__xludf.DUMMYFUNCTION("""COMPUTED_VALUE"""),0.0)</f>
        <v>0</v>
      </c>
      <c r="G64" s="30">
        <v>70000.0</v>
      </c>
      <c r="H64" s="31">
        <f t="shared" si="17"/>
        <v>0</v>
      </c>
      <c r="I64" s="31">
        <f t="shared" si="18"/>
        <v>0</v>
      </c>
      <c r="J64" s="32" t="str">
        <f t="shared" si="19"/>
        <v/>
      </c>
      <c r="K64" s="32"/>
      <c r="L64" s="33">
        <f t="shared" si="20"/>
        <v>0</v>
      </c>
      <c r="M64" s="32"/>
      <c r="N64" s="32"/>
      <c r="O64" s="34">
        <f t="shared" si="21"/>
        <v>0</v>
      </c>
      <c r="P64" s="44"/>
      <c r="Q64" s="44"/>
      <c r="R64" s="37">
        <f t="shared" si="22"/>
        <v>0</v>
      </c>
      <c r="S64" s="38">
        <f t="shared" si="23"/>
        <v>0</v>
      </c>
      <c r="T64" s="39"/>
      <c r="U64" s="42">
        <f>IFERROR(__xludf.DUMMYFUNCTION("""COMPUTED_VALUE"""),0.0)</f>
        <v>0</v>
      </c>
      <c r="V64" s="63"/>
      <c r="W64" s="63"/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/>
      <c r="F65" s="52">
        <f>IFERROR(__xludf.DUMMYFUNCTION("""COMPUTED_VALUE"""),0.0)</f>
        <v>0</v>
      </c>
      <c r="G65" s="30">
        <v>70000.0</v>
      </c>
      <c r="H65" s="31">
        <f t="shared" si="17"/>
        <v>0</v>
      </c>
      <c r="I65" s="31">
        <f t="shared" si="18"/>
        <v>0</v>
      </c>
      <c r="J65" s="32" t="str">
        <f t="shared" si="19"/>
        <v/>
      </c>
      <c r="K65" s="32"/>
      <c r="L65" s="33">
        <f t="shared" si="20"/>
        <v>0</v>
      </c>
      <c r="M65" s="32"/>
      <c r="N65" s="32"/>
      <c r="O65" s="34">
        <f t="shared" si="21"/>
        <v>0</v>
      </c>
      <c r="P65" s="44"/>
      <c r="Q65" s="44"/>
      <c r="R65" s="37">
        <f t="shared" si="22"/>
        <v>0</v>
      </c>
      <c r="S65" s="38">
        <f t="shared" si="23"/>
        <v>0</v>
      </c>
      <c r="T65" s="39"/>
      <c r="U65" s="42">
        <f>IFERROR(__xludf.DUMMYFUNCTION("""COMPUTED_VALUE"""),0.0)</f>
        <v>0</v>
      </c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/>
      <c r="F66" s="52">
        <f>IFERROR(__xludf.DUMMYFUNCTION("""COMPUTED_VALUE"""),0.0)</f>
        <v>0</v>
      </c>
      <c r="G66" s="30">
        <v>50000.0</v>
      </c>
      <c r="H66" s="31">
        <f t="shared" si="17"/>
        <v>0</v>
      </c>
      <c r="I66" s="31">
        <f t="shared" si="18"/>
        <v>0</v>
      </c>
      <c r="J66" s="32" t="str">
        <f t="shared" si="19"/>
        <v/>
      </c>
      <c r="K66" s="32"/>
      <c r="L66" s="33">
        <f t="shared" si="20"/>
        <v>0</v>
      </c>
      <c r="M66" s="32"/>
      <c r="N66" s="32"/>
      <c r="O66" s="34">
        <f t="shared" si="21"/>
        <v>0</v>
      </c>
      <c r="P66" s="44"/>
      <c r="Q66" s="44"/>
      <c r="R66" s="37">
        <f t="shared" si="22"/>
        <v>0</v>
      </c>
      <c r="S66" s="38">
        <f t="shared" si="23"/>
        <v>0</v>
      </c>
      <c r="T66" s="39"/>
      <c r="U66" s="42">
        <f>IFERROR(__xludf.DUMMYFUNCTION("""COMPUTED_VALUE"""),0.0)</f>
        <v>0</v>
      </c>
    </row>
    <row r="67" ht="37.5" customHeight="1">
      <c r="B67" s="25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/>
      <c r="F67" s="52">
        <f>IFERROR(__xludf.DUMMYFUNCTION("""COMPUTED_VALUE"""),0.0)</f>
        <v>0</v>
      </c>
      <c r="G67" s="30">
        <v>50000.0</v>
      </c>
      <c r="H67" s="31">
        <f t="shared" si="17"/>
        <v>0</v>
      </c>
      <c r="I67" s="31">
        <f t="shared" si="18"/>
        <v>0</v>
      </c>
      <c r="J67" s="32" t="str">
        <f t="shared" si="19"/>
        <v/>
      </c>
      <c r="K67" s="32"/>
      <c r="L67" s="33">
        <f t="shared" si="20"/>
        <v>0</v>
      </c>
      <c r="M67" s="32"/>
      <c r="N67" s="32"/>
      <c r="O67" s="34">
        <f t="shared" si="21"/>
        <v>0</v>
      </c>
      <c r="P67" s="44"/>
      <c r="Q67" s="44"/>
      <c r="R67" s="37">
        <f t="shared" si="22"/>
        <v>0</v>
      </c>
      <c r="S67" s="38">
        <f t="shared" si="23"/>
        <v>0</v>
      </c>
      <c r="T67" s="39"/>
      <c r="U67" s="42">
        <f>IFERROR(__xludf.DUMMYFUNCTION("""COMPUTED_VALUE"""),0.0)</f>
        <v>0</v>
      </c>
    </row>
    <row r="68" ht="37.5" customHeight="1">
      <c r="B68" s="25">
        <v>10.0</v>
      </c>
      <c r="C68" s="49" t="str">
        <f>IFERROR(__xludf.DUMMYFUNCTION("""COMPUTED_VALUE"""),"IIS")</f>
        <v>IIS</v>
      </c>
      <c r="D68" s="27" t="str">
        <f>IFERROR(__xludf.DUMMYFUNCTION("""COMPUTED_VALUE"""),"PACKING")</f>
        <v>PACKING</v>
      </c>
      <c r="E68" s="51"/>
      <c r="F68" s="52">
        <f>IFERROR(__xludf.DUMMYFUNCTION("""COMPUTED_VALUE"""),0.0)</f>
        <v>0</v>
      </c>
      <c r="G68" s="45"/>
      <c r="H68" s="31">
        <f t="shared" si="17"/>
        <v>0</v>
      </c>
      <c r="I68" s="31">
        <f t="shared" si="18"/>
        <v>0</v>
      </c>
      <c r="J68" s="32" t="str">
        <f t="shared" si="19"/>
        <v/>
      </c>
      <c r="K68" s="32"/>
      <c r="L68" s="33">
        <f t="shared" si="20"/>
        <v>0</v>
      </c>
      <c r="M68" s="32"/>
      <c r="N68" s="32"/>
      <c r="O68" s="34">
        <f t="shared" si="21"/>
        <v>0</v>
      </c>
      <c r="P68" s="44"/>
      <c r="Q68" s="44"/>
      <c r="R68" s="37">
        <f t="shared" si="22"/>
        <v>0</v>
      </c>
      <c r="S68" s="38">
        <f t="shared" si="23"/>
        <v>0</v>
      </c>
      <c r="T68" s="39"/>
      <c r="U68" s="42">
        <f>IFERROR(__xludf.DUMMYFUNCTION("""COMPUTED_VALUE"""),0.0)</f>
        <v>0</v>
      </c>
    </row>
    <row r="69" ht="37.5" customHeight="1">
      <c r="B69" s="25">
        <v>11.0</v>
      </c>
      <c r="C69" s="49"/>
      <c r="D69" s="50"/>
      <c r="E69" s="51"/>
      <c r="F69" s="52">
        <f>IFERROR(__xludf.DUMMYFUNCTION("""COMPUTED_VALUE"""),0.0)</f>
        <v>0</v>
      </c>
      <c r="G69" s="45"/>
      <c r="H69" s="31">
        <f t="shared" si="17"/>
        <v>0</v>
      </c>
      <c r="I69" s="31">
        <f t="shared" si="18"/>
        <v>0</v>
      </c>
      <c r="J69" s="32" t="str">
        <f t="shared" si="19"/>
        <v/>
      </c>
      <c r="K69" s="32"/>
      <c r="L69" s="33">
        <f t="shared" si="20"/>
        <v>0</v>
      </c>
      <c r="M69" s="32"/>
      <c r="N69" s="32"/>
      <c r="O69" s="34">
        <f t="shared" si="21"/>
        <v>0</v>
      </c>
      <c r="P69" s="44"/>
      <c r="Q69" s="44"/>
      <c r="R69" s="37">
        <f t="shared" si="22"/>
        <v>0</v>
      </c>
      <c r="S69" s="38">
        <f t="shared" si="23"/>
        <v>0</v>
      </c>
      <c r="T69" s="39"/>
      <c r="U69" s="42">
        <f>IFERROR(__xludf.DUMMYFUNCTION("""COMPUTED_VALUE"""),0.0)</f>
        <v>0</v>
      </c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7"/>
        <v>0</v>
      </c>
      <c r="I70" s="31">
        <f t="shared" si="18"/>
        <v>0</v>
      </c>
      <c r="J70" s="32" t="str">
        <f t="shared" si="19"/>
        <v/>
      </c>
      <c r="K70" s="32"/>
      <c r="L70" s="33">
        <f t="shared" si="20"/>
        <v>0</v>
      </c>
      <c r="M70" s="32"/>
      <c r="N70" s="32"/>
      <c r="O70" s="34">
        <f t="shared" si="21"/>
        <v>0</v>
      </c>
      <c r="P70" s="44"/>
      <c r="Q70" s="44"/>
      <c r="R70" s="37">
        <f t="shared" si="22"/>
        <v>0</v>
      </c>
      <c r="S70" s="38">
        <f t="shared" si="23"/>
        <v>0</v>
      </c>
      <c r="T70" s="39"/>
      <c r="U70" s="42">
        <f>IFERROR(__xludf.DUMMYFUNCTION("""COMPUTED_VALUE"""),0.0)</f>
        <v>0</v>
      </c>
    </row>
    <row r="71" ht="37.5" customHeight="1">
      <c r="B71" s="25">
        <v>13.0</v>
      </c>
      <c r="C71" s="49"/>
      <c r="D71" s="50"/>
      <c r="E71" s="51"/>
      <c r="F71" s="52">
        <f>IFERROR(__xludf.DUMMYFUNCTION("""COMPUTED_VALUE"""),0.0)</f>
        <v>0</v>
      </c>
      <c r="G71" s="45"/>
      <c r="H71" s="31">
        <f t="shared" si="17"/>
        <v>0</v>
      </c>
      <c r="I71" s="31">
        <f t="shared" si="18"/>
        <v>0</v>
      </c>
      <c r="J71" s="32" t="str">
        <f t="shared" si="19"/>
        <v/>
      </c>
      <c r="K71" s="32"/>
      <c r="L71" s="33">
        <f t="shared" si="20"/>
        <v>0</v>
      </c>
      <c r="M71" s="32"/>
      <c r="N71" s="32"/>
      <c r="O71" s="34">
        <f t="shared" si="21"/>
        <v>0</v>
      </c>
      <c r="P71" s="44"/>
      <c r="Q71" s="44"/>
      <c r="R71" s="37">
        <f t="shared" si="22"/>
        <v>0</v>
      </c>
      <c r="S71" s="38">
        <f t="shared" si="23"/>
        <v>0</v>
      </c>
      <c r="T71" s="39"/>
      <c r="U71" s="42">
        <f>IFERROR(__xludf.DUMMYFUNCTION("""COMPUTED_VALUE"""),0.0)</f>
        <v>0</v>
      </c>
    </row>
    <row r="72" ht="37.5" customHeight="1">
      <c r="B72" s="25">
        <v>14.0</v>
      </c>
      <c r="C72" s="49"/>
      <c r="D72" s="50"/>
      <c r="E72" s="51"/>
      <c r="F72" s="52">
        <f>IFERROR(__xludf.DUMMYFUNCTION("""COMPUTED_VALUE"""),0.0)</f>
        <v>0</v>
      </c>
      <c r="G72" s="45"/>
      <c r="H72" s="31">
        <f t="shared" si="17"/>
        <v>0</v>
      </c>
      <c r="I72" s="31">
        <f t="shared" si="18"/>
        <v>0</v>
      </c>
      <c r="J72" s="32" t="str">
        <f t="shared" si="19"/>
        <v/>
      </c>
      <c r="K72" s="32"/>
      <c r="L72" s="33">
        <f t="shared" si="20"/>
        <v>0</v>
      </c>
      <c r="M72" s="32"/>
      <c r="N72" s="32"/>
      <c r="O72" s="34">
        <f t="shared" si="21"/>
        <v>0</v>
      </c>
      <c r="P72" s="44"/>
      <c r="Q72" s="44"/>
      <c r="R72" s="37">
        <f t="shared" si="22"/>
        <v>0</v>
      </c>
      <c r="S72" s="38">
        <f t="shared" si="23"/>
        <v>0</v>
      </c>
      <c r="T72" s="39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7"/>
        <v>0</v>
      </c>
      <c r="I73" s="31">
        <f t="shared" si="18"/>
        <v>0</v>
      </c>
      <c r="J73" s="32" t="str">
        <f t="shared" si="19"/>
        <v/>
      </c>
      <c r="K73" s="32"/>
      <c r="L73" s="33">
        <f t="shared" si="20"/>
        <v>0</v>
      </c>
      <c r="M73" s="32"/>
      <c r="N73" s="32"/>
      <c r="O73" s="34">
        <f t="shared" si="21"/>
        <v>0</v>
      </c>
      <c r="P73" s="44"/>
      <c r="Q73" s="44"/>
      <c r="R73" s="37">
        <f t="shared" si="22"/>
        <v>0</v>
      </c>
      <c r="S73" s="38">
        <f t="shared" si="23"/>
        <v>0</v>
      </c>
      <c r="T73" s="39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7"/>
        <v>0</v>
      </c>
      <c r="I74" s="31">
        <f t="shared" si="18"/>
        <v>0</v>
      </c>
      <c r="J74" s="32" t="str">
        <f t="shared" si="19"/>
        <v/>
      </c>
      <c r="K74" s="32"/>
      <c r="L74" s="33">
        <f t="shared" si="20"/>
        <v>0</v>
      </c>
      <c r="M74" s="32"/>
      <c r="N74" s="32"/>
      <c r="O74" s="34">
        <f t="shared" si="21"/>
        <v>0</v>
      </c>
      <c r="P74" s="44"/>
      <c r="Q74" s="44"/>
      <c r="R74" s="37">
        <f t="shared" si="22"/>
        <v>0</v>
      </c>
      <c r="S74" s="38">
        <f t="shared" si="23"/>
        <v>0</v>
      </c>
      <c r="T74" s="39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7"/>
        <v>0</v>
      </c>
      <c r="I75" s="31">
        <f t="shared" si="18"/>
        <v>0</v>
      </c>
      <c r="J75" s="32" t="str">
        <f t="shared" si="19"/>
        <v/>
      </c>
      <c r="K75" s="32"/>
      <c r="L75" s="33">
        <f t="shared" si="20"/>
        <v>0</v>
      </c>
      <c r="M75" s="32"/>
      <c r="N75" s="32"/>
      <c r="O75" s="34">
        <f t="shared" si="21"/>
        <v>0</v>
      </c>
      <c r="P75" s="44"/>
      <c r="Q75" s="44"/>
      <c r="R75" s="37">
        <f t="shared" si="22"/>
        <v>0</v>
      </c>
      <c r="S75" s="38">
        <f t="shared" si="23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7"/>
        <v>0</v>
      </c>
      <c r="I76" s="31">
        <f t="shared" si="18"/>
        <v>0</v>
      </c>
      <c r="J76" s="32" t="str">
        <f t="shared" si="19"/>
        <v/>
      </c>
      <c r="K76" s="32"/>
      <c r="L76" s="33">
        <f t="shared" si="20"/>
        <v>0</v>
      </c>
      <c r="M76" s="32"/>
      <c r="N76" s="32"/>
      <c r="O76" s="34">
        <f t="shared" si="21"/>
        <v>0</v>
      </c>
      <c r="P76" s="44"/>
      <c r="Q76" s="44"/>
      <c r="R76" s="37">
        <f t="shared" si="22"/>
        <v>0</v>
      </c>
      <c r="S76" s="38">
        <f t="shared" si="23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7"/>
        <v>0</v>
      </c>
      <c r="I77" s="31">
        <f t="shared" si="18"/>
        <v>0</v>
      </c>
      <c r="J77" s="32" t="str">
        <f t="shared" si="19"/>
        <v/>
      </c>
      <c r="K77" s="32"/>
      <c r="L77" s="33">
        <f t="shared" si="20"/>
        <v>0</v>
      </c>
      <c r="M77" s="32"/>
      <c r="N77" s="32"/>
      <c r="O77" s="34">
        <f t="shared" si="21"/>
        <v>0</v>
      </c>
      <c r="P77" s="44"/>
      <c r="Q77" s="44"/>
      <c r="R77" s="37">
        <f t="shared" si="22"/>
        <v>0</v>
      </c>
      <c r="S77" s="38">
        <f t="shared" si="23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7"/>
        <v>0</v>
      </c>
      <c r="I78" s="31">
        <f t="shared" si="18"/>
        <v>0</v>
      </c>
      <c r="J78" s="32" t="str">
        <f t="shared" si="19"/>
        <v/>
      </c>
      <c r="K78" s="32"/>
      <c r="L78" s="33">
        <f t="shared" si="20"/>
        <v>0</v>
      </c>
      <c r="M78" s="32"/>
      <c r="N78" s="32"/>
      <c r="O78" s="34">
        <f t="shared" si="21"/>
        <v>0</v>
      </c>
      <c r="P78" s="44"/>
      <c r="Q78" s="44"/>
      <c r="R78" s="37">
        <f t="shared" si="22"/>
        <v>0</v>
      </c>
      <c r="S78" s="38">
        <f t="shared" si="23"/>
        <v>0</v>
      </c>
      <c r="T78" s="51"/>
      <c r="U78" s="42">
        <f>IFERROR(__xludf.DUMMYFUNCTION("""COMPUTED_VALUE"""),0.0)</f>
        <v>0</v>
      </c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7"/>
        <v>0</v>
      </c>
      <c r="I79" s="31">
        <f t="shared" si="18"/>
        <v>0</v>
      </c>
      <c r="J79" s="32" t="str">
        <f t="shared" si="19"/>
        <v/>
      </c>
      <c r="K79" s="32"/>
      <c r="L79" s="33">
        <f t="shared" si="20"/>
        <v>0</v>
      </c>
      <c r="M79" s="32"/>
      <c r="N79" s="32"/>
      <c r="O79" s="34">
        <f t="shared" si="21"/>
        <v>0</v>
      </c>
      <c r="P79" s="44"/>
      <c r="Q79" s="44"/>
      <c r="R79" s="37">
        <f t="shared" si="22"/>
        <v>0</v>
      </c>
      <c r="S79" s="38">
        <f t="shared" si="23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7"/>
        <v>0</v>
      </c>
      <c r="I80" s="31">
        <f t="shared" si="18"/>
        <v>0</v>
      </c>
      <c r="J80" s="32" t="str">
        <f t="shared" si="19"/>
        <v/>
      </c>
      <c r="K80" s="32"/>
      <c r="L80" s="33">
        <f t="shared" si="20"/>
        <v>0</v>
      </c>
      <c r="M80" s="32"/>
      <c r="N80" s="32"/>
      <c r="O80" s="34">
        <f t="shared" si="21"/>
        <v>0</v>
      </c>
      <c r="P80" s="44"/>
      <c r="Q80" s="44"/>
      <c r="R80" s="37">
        <f t="shared" si="22"/>
        <v>0</v>
      </c>
      <c r="S80" s="38">
        <f t="shared" si="23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IFERROR(__xludf.DUMMYFUNCTION("IMPORTRANGE(""https://docs.google.com/spreadsheets/d/17TnzcKnlaqlAyM_3lnNpgK5CAOPbscCCRVH50X8UulY/edit?usp=sharing"",""AGUSTUS!B72"")"),"TANGGAL : 17-22 AGUSTUS 2026")</f>
        <v>TANGGAL : 17-22 AGUSTUS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IFERROR(__xludf.DUMMYFUNCTION("IMPORTRANGE(""https://docs.google.com/spreadsheets/d/17TnzcKnlaqlAyM_3lnNpgK5CAOPbscCCRVH50X8UulY/edit?usp=sharing"",""AGUSTUS!B73:D92"")"),"EPUL")</f>
        <v>EPUL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IFERROR(__xludf.DUMMYFUNCTION("IMPORTRANGE(""https://docs.google.com/spreadsheets/d/17TnzcKnlaqlAyM_3lnNpgK5CAOPbscCCRVH50X8UulY/edit?usp=sharing"",""AGUSTUS!K73:K91"")"),0.0)</f>
        <v>0</v>
      </c>
      <c r="G84" s="30">
        <v>110000.0</v>
      </c>
      <c r="H84" s="31">
        <f t="shared" ref="H84:H105" si="24">F84*G84</f>
        <v>0</v>
      </c>
      <c r="I84" s="31">
        <f t="shared" ref="I84:I105" si="25">F84*10000</f>
        <v>0</v>
      </c>
      <c r="J84" s="32" t="str">
        <f t="shared" ref="J84:J105" si="26">IF(E84="SHIFT 2",I84,"")</f>
        <v/>
      </c>
      <c r="K84" s="32"/>
      <c r="L84" s="33">
        <f t="shared" ref="L84:L105" si="27">U84*$L$83</f>
        <v>0</v>
      </c>
      <c r="M84" s="32"/>
      <c r="N84" s="32"/>
      <c r="O84" s="34">
        <f t="shared" ref="O84:O105" si="28">SUM(H84:N84)</f>
        <v>0</v>
      </c>
      <c r="P84" s="36"/>
      <c r="Q84" s="36"/>
      <c r="R84" s="37">
        <f t="shared" ref="R84:R105" si="29">SUM(P84:Q84)</f>
        <v>0</v>
      </c>
      <c r="S84" s="38">
        <f t="shared" ref="S84:S105" si="30">O84-R84</f>
        <v>0</v>
      </c>
      <c r="T84" s="52" t="str">
        <f>IFERROR(__xludf.DUMMYFUNCTION("IMPORTRANGE(""https://docs.google.com/spreadsheets/d/17TnzcKnlaqlAyM_3lnNpgK5CAOPbscCCRVH50X8UulY/edit?usp=sharing"",""AGUSTUS!L73:L92"")"),"")</f>
        <v/>
      </c>
      <c r="U84" s="42">
        <f>IFERROR(__xludf.DUMMYFUNCTION("IMPORTRANGE(""https://docs.google.com/spreadsheets/d/17TnzcKnlaqlAyM_3lnNpgK5CAOPbscCCRVH50X8UulY/edit?usp=sharing"",""AGUSTUS!U73:U92"")"),0.0)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IFERROR(__xludf.DUMMYFUNCTION("""COMPUTED_VALUE"""),0.0)</f>
        <v>0</v>
      </c>
      <c r="G85" s="30">
        <v>70000.0</v>
      </c>
      <c r="H85" s="31">
        <f t="shared" si="24"/>
        <v>0</v>
      </c>
      <c r="I85" s="31">
        <f t="shared" si="25"/>
        <v>0</v>
      </c>
      <c r="J85" s="32" t="str">
        <f t="shared" si="26"/>
        <v/>
      </c>
      <c r="K85" s="41"/>
      <c r="L85" s="33">
        <f t="shared" si="27"/>
        <v>0</v>
      </c>
      <c r="M85" s="41"/>
      <c r="N85" s="41"/>
      <c r="O85" s="34">
        <f t="shared" si="28"/>
        <v>0</v>
      </c>
      <c r="P85" s="36"/>
      <c r="Q85" s="36"/>
      <c r="R85" s="37">
        <f t="shared" si="29"/>
        <v>0</v>
      </c>
      <c r="S85" s="38">
        <f t="shared" si="30"/>
        <v>0</v>
      </c>
      <c r="T85" s="52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 t="str">
        <f>IFERROR(__xludf.DUMMYFUNCTION("""COMPUTED_VALUE"""),"KHRYSSAN")</f>
        <v>KHRYSSAN</v>
      </c>
      <c r="D86" s="27" t="str">
        <f>IFERROR(__xludf.DUMMYFUNCTION("""COMPUTED_VALUE"""),"ADMIN")</f>
        <v>ADMIN</v>
      </c>
      <c r="E86" s="28"/>
      <c r="F86" s="52">
        <f>IFERROR(__xludf.DUMMYFUNCTION("""COMPUTED_VALUE"""),0.0)</f>
        <v>0</v>
      </c>
      <c r="G86" s="30">
        <v>70000.0</v>
      </c>
      <c r="H86" s="31">
        <f t="shared" si="24"/>
        <v>0</v>
      </c>
      <c r="I86" s="31">
        <f t="shared" si="25"/>
        <v>0</v>
      </c>
      <c r="J86" s="32" t="str">
        <f t="shared" si="26"/>
        <v/>
      </c>
      <c r="K86" s="41"/>
      <c r="L86" s="33">
        <f t="shared" si="27"/>
        <v>0</v>
      </c>
      <c r="M86" s="41"/>
      <c r="N86" s="41"/>
      <c r="O86" s="34">
        <f t="shared" si="28"/>
        <v>0</v>
      </c>
      <c r="P86" s="36"/>
      <c r="Q86" s="36"/>
      <c r="R86" s="37">
        <f t="shared" si="29"/>
        <v>0</v>
      </c>
      <c r="S86" s="38">
        <f t="shared" si="30"/>
        <v>0</v>
      </c>
      <c r="T86" s="52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IFERROR(__xludf.DUMMYFUNCTION("""COMPUTED_VALUE"""),"ANDRI")</f>
        <v>ANDRI</v>
      </c>
      <c r="D87" s="27" t="str">
        <f>IFERROR(__xludf.DUMMYFUNCTION("""COMPUTED_VALUE"""),"DESIGN BORDIR")</f>
        <v>DESIGN BORDIR</v>
      </c>
      <c r="E87" s="28"/>
      <c r="F87" s="52">
        <f>IFERROR(__xludf.DUMMYFUNCTION("""COMPUTED_VALUE"""),0.0)</f>
        <v>0</v>
      </c>
      <c r="G87" s="30">
        <v>70000.0</v>
      </c>
      <c r="H87" s="31">
        <f t="shared" si="24"/>
        <v>0</v>
      </c>
      <c r="I87" s="31">
        <f t="shared" si="25"/>
        <v>0</v>
      </c>
      <c r="J87" s="32" t="str">
        <f t="shared" si="26"/>
        <v/>
      </c>
      <c r="K87" s="32"/>
      <c r="L87" s="33">
        <f t="shared" si="27"/>
        <v>0</v>
      </c>
      <c r="M87" s="32"/>
      <c r="N87" s="32"/>
      <c r="O87" s="34">
        <f t="shared" si="28"/>
        <v>0</v>
      </c>
      <c r="P87" s="36"/>
      <c r="Q87" s="36"/>
      <c r="R87" s="37">
        <f t="shared" si="29"/>
        <v>0</v>
      </c>
      <c r="S87" s="38">
        <f t="shared" si="30"/>
        <v>0</v>
      </c>
      <c r="T87" s="52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IFERROR(__xludf.DUMMYFUNCTION("""COMPUTED_VALUE"""),"ADIT")</f>
        <v>ADIT</v>
      </c>
      <c r="D88" s="27" t="str">
        <f>IFERROR(__xludf.DUMMYFUNCTION("""COMPUTED_VALUE"""),"CREATOR")</f>
        <v>CREATOR</v>
      </c>
      <c r="E88" s="28"/>
      <c r="F88" s="52">
        <f>IFERROR(__xludf.DUMMYFUNCTION("""COMPUTED_VALUE"""),0.0)</f>
        <v>0</v>
      </c>
      <c r="G88" s="30">
        <v>50000.0</v>
      </c>
      <c r="H88" s="31">
        <f t="shared" si="24"/>
        <v>0</v>
      </c>
      <c r="I88" s="31">
        <f t="shared" si="25"/>
        <v>0</v>
      </c>
      <c r="J88" s="32" t="str">
        <f t="shared" si="26"/>
        <v/>
      </c>
      <c r="K88" s="32"/>
      <c r="L88" s="33">
        <f t="shared" si="27"/>
        <v>0</v>
      </c>
      <c r="M88" s="32"/>
      <c r="N88" s="32"/>
      <c r="O88" s="34">
        <f t="shared" si="28"/>
        <v>0</v>
      </c>
      <c r="P88" s="36"/>
      <c r="Q88" s="36"/>
      <c r="R88" s="37">
        <f t="shared" si="29"/>
        <v>0</v>
      </c>
      <c r="S88" s="38">
        <f t="shared" si="30"/>
        <v>0</v>
      </c>
      <c r="T88" s="52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IFERROR(__xludf.DUMMYFUNCTION("""COMPUTED_VALUE"""),0.0)</f>
        <v>0</v>
      </c>
      <c r="G89" s="30">
        <v>70000.0</v>
      </c>
      <c r="H89" s="31">
        <f t="shared" si="24"/>
        <v>0</v>
      </c>
      <c r="I89" s="31">
        <f t="shared" si="25"/>
        <v>0</v>
      </c>
      <c r="J89" s="32" t="str">
        <f t="shared" si="26"/>
        <v/>
      </c>
      <c r="K89" s="32"/>
      <c r="L89" s="33">
        <f t="shared" si="27"/>
        <v>0</v>
      </c>
      <c r="M89" s="32"/>
      <c r="N89" s="32"/>
      <c r="O89" s="34">
        <f t="shared" si="28"/>
        <v>0</v>
      </c>
      <c r="P89" s="36"/>
      <c r="Q89" s="36"/>
      <c r="R89" s="37">
        <f t="shared" si="29"/>
        <v>0</v>
      </c>
      <c r="S89" s="38">
        <f t="shared" si="30"/>
        <v>0</v>
      </c>
      <c r="T89" s="52"/>
      <c r="U89" s="42">
        <f>IFERROR(__xludf.DUMMYFUNCTION("""COMPUTED_VALUE"""),0.0)</f>
        <v>0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IFERROR(__xludf.DUMMYFUNCTION("""COMPUTED_VALUE"""),0.0)</f>
        <v>0</v>
      </c>
      <c r="G90" s="30">
        <v>70000.0</v>
      </c>
      <c r="H90" s="31">
        <f t="shared" si="24"/>
        <v>0</v>
      </c>
      <c r="I90" s="31">
        <f t="shared" si="25"/>
        <v>0</v>
      </c>
      <c r="J90" s="32" t="str">
        <f t="shared" si="26"/>
        <v/>
      </c>
      <c r="K90" s="32"/>
      <c r="L90" s="33">
        <f t="shared" si="27"/>
        <v>0</v>
      </c>
      <c r="M90" s="32"/>
      <c r="N90" s="32"/>
      <c r="O90" s="34">
        <f t="shared" si="28"/>
        <v>0</v>
      </c>
      <c r="P90" s="36"/>
      <c r="Q90" s="36"/>
      <c r="R90" s="37">
        <f t="shared" si="29"/>
        <v>0</v>
      </c>
      <c r="S90" s="38">
        <f t="shared" si="30"/>
        <v>0</v>
      </c>
      <c r="T90" s="52"/>
      <c r="U90" s="42">
        <f>IFERROR(__xludf.DUMMYFUNCTION("""COMPUTED_VALUE"""),0.0)</f>
        <v>0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IFERROR(__xludf.DUMMYFUNCTION("""COMPUTED_VALUE"""),0.0)</f>
        <v>0</v>
      </c>
      <c r="G91" s="30">
        <v>50000.0</v>
      </c>
      <c r="H91" s="31">
        <f t="shared" si="24"/>
        <v>0</v>
      </c>
      <c r="I91" s="31">
        <f t="shared" si="25"/>
        <v>0</v>
      </c>
      <c r="J91" s="32" t="str">
        <f t="shared" si="26"/>
        <v/>
      </c>
      <c r="K91" s="32"/>
      <c r="L91" s="33">
        <f t="shared" si="27"/>
        <v>0</v>
      </c>
      <c r="M91" s="32"/>
      <c r="N91" s="32"/>
      <c r="O91" s="34">
        <f t="shared" si="28"/>
        <v>0</v>
      </c>
      <c r="P91" s="36"/>
      <c r="Q91" s="36"/>
      <c r="R91" s="37">
        <f t="shared" si="29"/>
        <v>0</v>
      </c>
      <c r="S91" s="38">
        <f t="shared" si="30"/>
        <v>0</v>
      </c>
      <c r="T91" s="52"/>
      <c r="U91" s="42">
        <f>IFERROR(__xludf.DUMMYFUNCTION("""COMPUTED_VALUE"""),0.0)</f>
        <v>0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/>
      <c r="F92" s="52">
        <f>IFERROR(__xludf.DUMMYFUNCTION("""COMPUTED_VALUE"""),0.0)</f>
        <v>0</v>
      </c>
      <c r="G92" s="30">
        <v>50000.0</v>
      </c>
      <c r="H92" s="31">
        <f t="shared" si="24"/>
        <v>0</v>
      </c>
      <c r="I92" s="31">
        <f t="shared" si="25"/>
        <v>0</v>
      </c>
      <c r="J92" s="32" t="str">
        <f t="shared" si="26"/>
        <v/>
      </c>
      <c r="K92" s="32"/>
      <c r="L92" s="33">
        <f t="shared" si="27"/>
        <v>0</v>
      </c>
      <c r="M92" s="32"/>
      <c r="N92" s="32"/>
      <c r="O92" s="34">
        <f t="shared" si="28"/>
        <v>0</v>
      </c>
      <c r="P92" s="36"/>
      <c r="Q92" s="36"/>
      <c r="R92" s="37">
        <f t="shared" si="29"/>
        <v>0</v>
      </c>
      <c r="S92" s="38">
        <f t="shared" si="30"/>
        <v>0</v>
      </c>
      <c r="T92" s="52"/>
      <c r="U92" s="42">
        <f>IFERROR(__xludf.DUMMYFUNCTION("""COMPUTED_VALUE"""),0.0)</f>
        <v>0</v>
      </c>
    </row>
    <row r="93" ht="37.5" customHeight="1">
      <c r="B93" s="25">
        <v>10.0</v>
      </c>
      <c r="C93" s="49" t="str">
        <f>IFERROR(__xludf.DUMMYFUNCTION("""COMPUTED_VALUE"""),"IIS")</f>
        <v>IIS</v>
      </c>
      <c r="D93" s="27" t="str">
        <f>IFERROR(__xludf.DUMMYFUNCTION("""COMPUTED_VALUE"""),"PACKING")</f>
        <v>PACKING</v>
      </c>
      <c r="E93" s="143"/>
      <c r="F93" s="52">
        <f>IFERROR(__xludf.DUMMYFUNCTION("""COMPUTED_VALUE"""),0.0)</f>
        <v>0</v>
      </c>
      <c r="G93" s="45"/>
      <c r="H93" s="31">
        <f t="shared" si="24"/>
        <v>0</v>
      </c>
      <c r="I93" s="31">
        <f t="shared" si="25"/>
        <v>0</v>
      </c>
      <c r="J93" s="32" t="str">
        <f t="shared" si="26"/>
        <v/>
      </c>
      <c r="K93" s="32"/>
      <c r="L93" s="33">
        <f t="shared" si="27"/>
        <v>0</v>
      </c>
      <c r="M93" s="32"/>
      <c r="N93" s="32"/>
      <c r="O93" s="34">
        <f t="shared" si="28"/>
        <v>0</v>
      </c>
      <c r="P93" s="36"/>
      <c r="Q93" s="36"/>
      <c r="R93" s="37">
        <f t="shared" si="29"/>
        <v>0</v>
      </c>
      <c r="S93" s="38">
        <f t="shared" si="30"/>
        <v>0</v>
      </c>
      <c r="T93" s="52"/>
      <c r="U93" s="42">
        <f>IFERROR(__xludf.DUMMYFUNCTION("""COMPUTED_VALUE"""),0.0)</f>
        <v>0</v>
      </c>
    </row>
    <row r="94" ht="37.5" customHeight="1">
      <c r="B94" s="25">
        <v>11.0</v>
      </c>
      <c r="C94" s="49"/>
      <c r="D94" s="50"/>
      <c r="E94" s="143"/>
      <c r="F94" s="52">
        <f>IFERROR(__xludf.DUMMYFUNCTION("""COMPUTED_VALUE"""),0.0)</f>
        <v>0</v>
      </c>
      <c r="G94" s="45"/>
      <c r="H94" s="31">
        <f t="shared" si="24"/>
        <v>0</v>
      </c>
      <c r="I94" s="31">
        <f t="shared" si="25"/>
        <v>0</v>
      </c>
      <c r="J94" s="32" t="str">
        <f t="shared" si="26"/>
        <v/>
      </c>
      <c r="K94" s="32"/>
      <c r="L94" s="33">
        <f t="shared" si="27"/>
        <v>0</v>
      </c>
      <c r="M94" s="32"/>
      <c r="N94" s="32"/>
      <c r="O94" s="34">
        <f t="shared" si="28"/>
        <v>0</v>
      </c>
      <c r="P94" s="36"/>
      <c r="Q94" s="36"/>
      <c r="R94" s="37">
        <f t="shared" si="29"/>
        <v>0</v>
      </c>
      <c r="S94" s="38">
        <f t="shared" si="30"/>
        <v>0</v>
      </c>
      <c r="T94" s="52"/>
      <c r="U94" s="42">
        <f>IFERROR(__xludf.DUMMYFUNCTION("""COMPUTED_VALUE"""),0.0)</f>
        <v>0</v>
      </c>
    </row>
    <row r="95" ht="37.5" customHeight="1">
      <c r="B95" s="25">
        <v>12.0</v>
      </c>
      <c r="C95" s="49"/>
      <c r="D95" s="50"/>
      <c r="E95" s="51"/>
      <c r="F95" s="52">
        <f>IFERROR(__xludf.DUMMYFUNCTION("""COMPUTED_VALUE"""),0.0)</f>
        <v>0</v>
      </c>
      <c r="G95" s="45"/>
      <c r="H95" s="31">
        <f t="shared" si="24"/>
        <v>0</v>
      </c>
      <c r="I95" s="31">
        <f t="shared" si="25"/>
        <v>0</v>
      </c>
      <c r="J95" s="32" t="str">
        <f t="shared" si="26"/>
        <v/>
      </c>
      <c r="K95" s="32"/>
      <c r="L95" s="33">
        <f t="shared" si="27"/>
        <v>0</v>
      </c>
      <c r="M95" s="32"/>
      <c r="N95" s="32"/>
      <c r="O95" s="34">
        <f t="shared" si="28"/>
        <v>0</v>
      </c>
      <c r="P95" s="36"/>
      <c r="Q95" s="36"/>
      <c r="R95" s="37">
        <f t="shared" si="29"/>
        <v>0</v>
      </c>
      <c r="S95" s="38">
        <f t="shared" si="30"/>
        <v>0</v>
      </c>
      <c r="T95" s="52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143"/>
      <c r="F96" s="52">
        <f>IFERROR(__xludf.DUMMYFUNCTION("""COMPUTED_VALUE"""),0.0)</f>
        <v>0</v>
      </c>
      <c r="G96" s="45"/>
      <c r="H96" s="31">
        <f t="shared" si="24"/>
        <v>0</v>
      </c>
      <c r="I96" s="31">
        <f t="shared" si="25"/>
        <v>0</v>
      </c>
      <c r="J96" s="32" t="str">
        <f t="shared" si="26"/>
        <v/>
      </c>
      <c r="K96" s="32"/>
      <c r="L96" s="33">
        <f t="shared" si="27"/>
        <v>0</v>
      </c>
      <c r="M96" s="32"/>
      <c r="N96" s="32"/>
      <c r="O96" s="34">
        <f t="shared" si="28"/>
        <v>0</v>
      </c>
      <c r="P96" s="36"/>
      <c r="Q96" s="36"/>
      <c r="R96" s="37">
        <f t="shared" si="29"/>
        <v>0</v>
      </c>
      <c r="S96" s="38">
        <f t="shared" si="30"/>
        <v>0</v>
      </c>
      <c r="T96" s="52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143"/>
      <c r="F97" s="52">
        <f>IFERROR(__xludf.DUMMYFUNCTION("""COMPUTED_VALUE"""),0.0)</f>
        <v>0</v>
      </c>
      <c r="G97" s="45"/>
      <c r="H97" s="31">
        <f t="shared" si="24"/>
        <v>0</v>
      </c>
      <c r="I97" s="31">
        <f t="shared" si="25"/>
        <v>0</v>
      </c>
      <c r="J97" s="32" t="str">
        <f t="shared" si="26"/>
        <v/>
      </c>
      <c r="K97" s="32"/>
      <c r="L97" s="33">
        <f t="shared" si="27"/>
        <v>0</v>
      </c>
      <c r="M97" s="32"/>
      <c r="N97" s="32"/>
      <c r="O97" s="34">
        <f t="shared" si="28"/>
        <v>0</v>
      </c>
      <c r="P97" s="36"/>
      <c r="Q97" s="36"/>
      <c r="R97" s="37">
        <f t="shared" si="29"/>
        <v>0</v>
      </c>
      <c r="S97" s="38">
        <f t="shared" si="30"/>
        <v>0</v>
      </c>
      <c r="T97" s="52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0"/>
      <c r="E98" s="51"/>
      <c r="F98" s="52">
        <f>IFERROR(__xludf.DUMMYFUNCTION("""COMPUTED_VALUE"""),0.0)</f>
        <v>0</v>
      </c>
      <c r="G98" s="45"/>
      <c r="H98" s="31">
        <f t="shared" si="24"/>
        <v>0</v>
      </c>
      <c r="I98" s="31">
        <f t="shared" si="25"/>
        <v>0</v>
      </c>
      <c r="J98" s="32" t="str">
        <f t="shared" si="26"/>
        <v/>
      </c>
      <c r="K98" s="32"/>
      <c r="L98" s="33">
        <f t="shared" si="27"/>
        <v>0</v>
      </c>
      <c r="M98" s="32"/>
      <c r="N98" s="32"/>
      <c r="O98" s="34">
        <f t="shared" si="28"/>
        <v>0</v>
      </c>
      <c r="P98" s="36"/>
      <c r="Q98" s="36"/>
      <c r="R98" s="37">
        <f t="shared" si="29"/>
        <v>0</v>
      </c>
      <c r="S98" s="38">
        <f t="shared" si="30"/>
        <v>0</v>
      </c>
      <c r="T98" s="52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4"/>
        <v>0</v>
      </c>
      <c r="I99" s="31">
        <f t="shared" si="25"/>
        <v>0</v>
      </c>
      <c r="J99" s="32" t="str">
        <f t="shared" si="26"/>
        <v/>
      </c>
      <c r="K99" s="32"/>
      <c r="L99" s="33">
        <f t="shared" si="27"/>
        <v>0</v>
      </c>
      <c r="M99" s="32"/>
      <c r="N99" s="32"/>
      <c r="O99" s="34">
        <f t="shared" si="28"/>
        <v>0</v>
      </c>
      <c r="P99" s="36"/>
      <c r="Q99" s="36"/>
      <c r="R99" s="37">
        <f t="shared" si="29"/>
        <v>0</v>
      </c>
      <c r="S99" s="38">
        <f t="shared" si="30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4"/>
        <v>0</v>
      </c>
      <c r="I100" s="31">
        <f t="shared" si="25"/>
        <v>0</v>
      </c>
      <c r="J100" s="32" t="str">
        <f t="shared" si="26"/>
        <v/>
      </c>
      <c r="K100" s="32"/>
      <c r="L100" s="33">
        <f t="shared" si="27"/>
        <v>0</v>
      </c>
      <c r="M100" s="32"/>
      <c r="N100" s="32"/>
      <c r="O100" s="34">
        <f t="shared" si="28"/>
        <v>0</v>
      </c>
      <c r="P100" s="44"/>
      <c r="Q100" s="44"/>
      <c r="R100" s="37">
        <f t="shared" si="29"/>
        <v>0</v>
      </c>
      <c r="S100" s="38">
        <f t="shared" si="30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4"/>
        <v>0</v>
      </c>
      <c r="I101" s="31">
        <f t="shared" si="25"/>
        <v>0</v>
      </c>
      <c r="J101" s="32" t="str">
        <f t="shared" si="26"/>
        <v/>
      </c>
      <c r="K101" s="32"/>
      <c r="L101" s="33">
        <f t="shared" si="27"/>
        <v>0</v>
      </c>
      <c r="M101" s="32"/>
      <c r="N101" s="32"/>
      <c r="O101" s="34">
        <f t="shared" si="28"/>
        <v>0</v>
      </c>
      <c r="P101" s="44"/>
      <c r="Q101" s="44"/>
      <c r="R101" s="37">
        <f t="shared" si="29"/>
        <v>0</v>
      </c>
      <c r="S101" s="38">
        <f t="shared" si="30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4"/>
        <v>0</v>
      </c>
      <c r="I102" s="31">
        <f t="shared" si="25"/>
        <v>0</v>
      </c>
      <c r="J102" s="32" t="str">
        <f t="shared" si="26"/>
        <v/>
      </c>
      <c r="K102" s="32"/>
      <c r="L102" s="33">
        <f t="shared" si="27"/>
        <v>0</v>
      </c>
      <c r="M102" s="32"/>
      <c r="N102" s="32"/>
      <c r="O102" s="34">
        <f t="shared" si="28"/>
        <v>0</v>
      </c>
      <c r="P102" s="44"/>
      <c r="Q102" s="44"/>
      <c r="R102" s="37">
        <f t="shared" si="29"/>
        <v>0</v>
      </c>
      <c r="S102" s="38">
        <f t="shared" si="30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4"/>
        <v>0</v>
      </c>
      <c r="I103" s="31">
        <f t="shared" si="25"/>
        <v>0</v>
      </c>
      <c r="J103" s="32" t="str">
        <f t="shared" si="26"/>
        <v/>
      </c>
      <c r="K103" s="32"/>
      <c r="L103" s="33">
        <f t="shared" si="27"/>
        <v>0</v>
      </c>
      <c r="M103" s="32"/>
      <c r="N103" s="32"/>
      <c r="O103" s="34">
        <f t="shared" si="28"/>
        <v>0</v>
      </c>
      <c r="P103" s="44"/>
      <c r="Q103" s="44"/>
      <c r="R103" s="37">
        <f t="shared" si="29"/>
        <v>0</v>
      </c>
      <c r="S103" s="38">
        <f t="shared" si="30"/>
        <v>0</v>
      </c>
      <c r="T103" s="51"/>
      <c r="U103" s="42">
        <f>IFERROR(__xludf.DUMMYFUNCTION("""COMPUTED_VALUE"""),0.0)</f>
        <v>0</v>
      </c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4"/>
        <v>0</v>
      </c>
      <c r="I104" s="31">
        <f t="shared" si="25"/>
        <v>0</v>
      </c>
      <c r="J104" s="32" t="str">
        <f t="shared" si="26"/>
        <v/>
      </c>
      <c r="K104" s="32"/>
      <c r="L104" s="33">
        <f t="shared" si="27"/>
        <v>0</v>
      </c>
      <c r="M104" s="32"/>
      <c r="N104" s="32"/>
      <c r="O104" s="34">
        <f t="shared" si="28"/>
        <v>0</v>
      </c>
      <c r="P104" s="44"/>
      <c r="Q104" s="44"/>
      <c r="R104" s="37">
        <f t="shared" si="29"/>
        <v>0</v>
      </c>
      <c r="S104" s="38">
        <f t="shared" si="30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4"/>
        <v>0</v>
      </c>
      <c r="I105" s="31">
        <f t="shared" si="25"/>
        <v>0</v>
      </c>
      <c r="J105" s="32" t="str">
        <f t="shared" si="26"/>
        <v/>
      </c>
      <c r="K105" s="32"/>
      <c r="L105" s="33">
        <f t="shared" si="27"/>
        <v>0</v>
      </c>
      <c r="M105" s="32"/>
      <c r="N105" s="32"/>
      <c r="O105" s="34">
        <f t="shared" si="28"/>
        <v>0</v>
      </c>
      <c r="P105" s="44"/>
      <c r="Q105" s="44"/>
      <c r="R105" s="37">
        <f t="shared" si="29"/>
        <v>0</v>
      </c>
      <c r="S105" s="38">
        <f t="shared" si="30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0</v>
      </c>
      <c r="T106" s="57"/>
      <c r="U106" s="58"/>
    </row>
    <row r="107" ht="37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IFERROR(__xludf.DUMMYFUNCTION("IMPORTRANGE(""https://docs.google.com/spreadsheets/d/17TnzcKnlaqlAyM_3lnNpgK5CAOPbscCCRVH50X8UulY/edit?usp=sharing"",""AGUSTUS!B94"")"),"TANGGAL : 24-29 AGUSTUS 2026")</f>
        <v>TANGGAL : 24-29 AGUSTUS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IFERROR(__xludf.DUMMYFUNCTION("IMPORTRANGE(""https://docs.google.com/spreadsheets/d/17TnzcKnlaqlAyM_3lnNpgK5CAOPbscCCRVH50X8UulY/edit?usp=sharing"",""AGUSTUS!B95:D113"")"),"EPUL")</f>
        <v>EPUL</v>
      </c>
      <c r="D109" s="27" t="str">
        <f>IFERROR(__xludf.DUMMYFUNCTION("""COMPUTED_VALUE"""),"KEPALA")</f>
        <v>KEPALA</v>
      </c>
      <c r="E109" s="28"/>
      <c r="F109" s="52">
        <f>IFERROR(__xludf.DUMMYFUNCTION("IMPORTRANGE(""https://docs.google.com/spreadsheets/d/17TnzcKnlaqlAyM_3lnNpgK5CAOPbscCCRVH50X8UulY/edit?usp=sharing"",""AGUSTUS!K95:K113"")"),0.0)</f>
        <v>0</v>
      </c>
      <c r="G109" s="30">
        <v>110000.0</v>
      </c>
      <c r="H109" s="31">
        <f t="shared" ref="H109:H130" si="31">F109*G109</f>
        <v>0</v>
      </c>
      <c r="I109" s="31">
        <f t="shared" ref="I109:I130" si="32">F109*10000</f>
        <v>0</v>
      </c>
      <c r="J109" s="32" t="str">
        <f t="shared" ref="J109:J130" si="33">IF(E109="SHIFT 2",I109,"")</f>
        <v/>
      </c>
      <c r="K109" s="32"/>
      <c r="L109" s="33">
        <f t="shared" ref="L109:L130" si="34">U109*$L$108</f>
        <v>0</v>
      </c>
      <c r="M109" s="32"/>
      <c r="N109" s="32"/>
      <c r="O109" s="34">
        <f t="shared" ref="O109:O130" si="35">SUM(H109:N109)</f>
        <v>0</v>
      </c>
      <c r="P109" s="44"/>
      <c r="Q109" s="44"/>
      <c r="R109" s="37">
        <f t="shared" ref="R109:R130" si="36">SUM(P109:Q109)</f>
        <v>0</v>
      </c>
      <c r="S109" s="38">
        <f t="shared" ref="S109:S130" si="37">O109-R109</f>
        <v>0</v>
      </c>
      <c r="T109" s="39" t="str">
        <f>IFERROR(__xludf.DUMMYFUNCTION("IMPORTRANGE(""https://docs.google.com/spreadsheets/d/17TnzcKnlaqlAyM_3lnNpgK5CAOPbscCCRVH50X8UulY/edit?usp=sharing"",""AGUSTUS!L95:L114"")"),"")</f>
        <v/>
      </c>
      <c r="U109" s="42">
        <f>IFERROR(__xludf.DUMMYFUNCTION("IMPORTRANGE(""https://docs.google.com/spreadsheets/d/17TnzcKnlaqlAyM_3lnNpgK5CAOPbscCCRVH50X8UulY/edit?usp=sharing"",""AGUSTUS!U95:U114"")"),0.0)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/>
      <c r="F110" s="52">
        <f>IFERROR(__xludf.DUMMYFUNCTION("""COMPUTED_VALUE"""),0.0)</f>
        <v>0</v>
      </c>
      <c r="G110" s="30">
        <v>70000.0</v>
      </c>
      <c r="H110" s="31">
        <f t="shared" si="31"/>
        <v>0</v>
      </c>
      <c r="I110" s="31">
        <f t="shared" si="32"/>
        <v>0</v>
      </c>
      <c r="J110" s="32" t="str">
        <f t="shared" si="33"/>
        <v/>
      </c>
      <c r="K110" s="41"/>
      <c r="L110" s="33">
        <f t="shared" si="34"/>
        <v>0</v>
      </c>
      <c r="M110" s="41"/>
      <c r="N110" s="41"/>
      <c r="O110" s="34">
        <f t="shared" si="35"/>
        <v>0</v>
      </c>
      <c r="P110" s="44"/>
      <c r="Q110" s="44"/>
      <c r="R110" s="37">
        <f t="shared" si="36"/>
        <v>0</v>
      </c>
      <c r="S110" s="38">
        <f t="shared" si="37"/>
        <v>0</v>
      </c>
      <c r="T110" s="39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 t="str">
        <f>IFERROR(__xludf.DUMMYFUNCTION("""COMPUTED_VALUE"""),"KHRYSSAN")</f>
        <v>KHRYSSAN</v>
      </c>
      <c r="D111" s="27" t="str">
        <f>IFERROR(__xludf.DUMMYFUNCTION("""COMPUTED_VALUE"""),"ADMIN")</f>
        <v>ADMIN</v>
      </c>
      <c r="E111" s="28"/>
      <c r="F111" s="52">
        <f>IFERROR(__xludf.DUMMYFUNCTION("""COMPUTED_VALUE"""),0.0)</f>
        <v>0</v>
      </c>
      <c r="G111" s="30">
        <v>70000.0</v>
      </c>
      <c r="H111" s="31">
        <f t="shared" si="31"/>
        <v>0</v>
      </c>
      <c r="I111" s="31">
        <f t="shared" si="32"/>
        <v>0</v>
      </c>
      <c r="J111" s="32" t="str">
        <f t="shared" si="33"/>
        <v/>
      </c>
      <c r="K111" s="41"/>
      <c r="L111" s="33">
        <f t="shared" si="34"/>
        <v>0</v>
      </c>
      <c r="M111" s="41"/>
      <c r="N111" s="41"/>
      <c r="O111" s="34">
        <f t="shared" si="35"/>
        <v>0</v>
      </c>
      <c r="P111" s="44"/>
      <c r="Q111" s="44"/>
      <c r="R111" s="37">
        <f t="shared" si="36"/>
        <v>0</v>
      </c>
      <c r="S111" s="38">
        <f t="shared" si="37"/>
        <v>0</v>
      </c>
      <c r="T111" s="39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IFERROR(__xludf.DUMMYFUNCTION("""COMPUTED_VALUE"""),"ANDRI")</f>
        <v>ANDRI</v>
      </c>
      <c r="D112" s="27" t="str">
        <f>IFERROR(__xludf.DUMMYFUNCTION("""COMPUTED_VALUE"""),"DESIGN BORDIR")</f>
        <v>DESIGN BORDIR</v>
      </c>
      <c r="E112" s="28"/>
      <c r="F112" s="52">
        <f>IFERROR(__xludf.DUMMYFUNCTION("""COMPUTED_VALUE"""),0.0)</f>
        <v>0</v>
      </c>
      <c r="G112" s="30">
        <v>70000.0</v>
      </c>
      <c r="H112" s="31">
        <f t="shared" si="31"/>
        <v>0</v>
      </c>
      <c r="I112" s="31">
        <f t="shared" si="32"/>
        <v>0</v>
      </c>
      <c r="J112" s="32" t="str">
        <f t="shared" si="33"/>
        <v/>
      </c>
      <c r="K112" s="32"/>
      <c r="L112" s="33">
        <f t="shared" si="34"/>
        <v>0</v>
      </c>
      <c r="M112" s="32"/>
      <c r="N112" s="32"/>
      <c r="O112" s="34">
        <f t="shared" si="35"/>
        <v>0</v>
      </c>
      <c r="P112" s="44"/>
      <c r="Q112" s="44"/>
      <c r="R112" s="37">
        <f t="shared" si="36"/>
        <v>0</v>
      </c>
      <c r="S112" s="38">
        <f t="shared" si="37"/>
        <v>0</v>
      </c>
      <c r="T112" s="39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IFERROR(__xludf.DUMMYFUNCTION("""COMPUTED_VALUE"""),"ADIT")</f>
        <v>ADIT</v>
      </c>
      <c r="D113" s="27" t="str">
        <f>IFERROR(__xludf.DUMMYFUNCTION("""COMPUTED_VALUE"""),"CREATOR")</f>
        <v>CREATOR</v>
      </c>
      <c r="E113" s="28"/>
      <c r="F113" s="52">
        <f>IFERROR(__xludf.DUMMYFUNCTION("""COMPUTED_VALUE"""),0.0)</f>
        <v>0</v>
      </c>
      <c r="G113" s="30">
        <v>50000.0</v>
      </c>
      <c r="H113" s="31">
        <f t="shared" si="31"/>
        <v>0</v>
      </c>
      <c r="I113" s="31">
        <f t="shared" si="32"/>
        <v>0</v>
      </c>
      <c r="J113" s="32" t="str">
        <f t="shared" si="33"/>
        <v/>
      </c>
      <c r="K113" s="32"/>
      <c r="L113" s="33">
        <f t="shared" si="34"/>
        <v>0</v>
      </c>
      <c r="M113" s="32"/>
      <c r="N113" s="32"/>
      <c r="O113" s="34">
        <f t="shared" si="35"/>
        <v>0</v>
      </c>
      <c r="P113" s="44"/>
      <c r="Q113" s="44"/>
      <c r="R113" s="37">
        <f t="shared" si="36"/>
        <v>0</v>
      </c>
      <c r="S113" s="38">
        <f t="shared" si="37"/>
        <v>0</v>
      </c>
      <c r="T113" s="39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/>
      <c r="F114" s="52">
        <f>IFERROR(__xludf.DUMMYFUNCTION("""COMPUTED_VALUE"""),0.0)</f>
        <v>0</v>
      </c>
      <c r="G114" s="30">
        <v>70000.0</v>
      </c>
      <c r="H114" s="31">
        <f t="shared" si="31"/>
        <v>0</v>
      </c>
      <c r="I114" s="31">
        <f t="shared" si="32"/>
        <v>0</v>
      </c>
      <c r="J114" s="32" t="str">
        <f t="shared" si="33"/>
        <v/>
      </c>
      <c r="K114" s="32"/>
      <c r="L114" s="33">
        <f t="shared" si="34"/>
        <v>0</v>
      </c>
      <c r="M114" s="32"/>
      <c r="N114" s="32"/>
      <c r="O114" s="34">
        <f t="shared" si="35"/>
        <v>0</v>
      </c>
      <c r="P114" s="44"/>
      <c r="Q114" s="44"/>
      <c r="R114" s="37">
        <f t="shared" si="36"/>
        <v>0</v>
      </c>
      <c r="S114" s="38">
        <f t="shared" si="37"/>
        <v>0</v>
      </c>
      <c r="T114" s="39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/>
      <c r="F115" s="52">
        <f>IFERROR(__xludf.DUMMYFUNCTION("""COMPUTED_VALUE"""),0.0)</f>
        <v>0</v>
      </c>
      <c r="G115" s="30">
        <v>70000.0</v>
      </c>
      <c r="H115" s="31">
        <f t="shared" si="31"/>
        <v>0</v>
      </c>
      <c r="I115" s="31">
        <f t="shared" si="32"/>
        <v>0</v>
      </c>
      <c r="J115" s="32" t="str">
        <f t="shared" si="33"/>
        <v/>
      </c>
      <c r="K115" s="32"/>
      <c r="L115" s="33">
        <f t="shared" si="34"/>
        <v>0</v>
      </c>
      <c r="M115" s="32"/>
      <c r="N115" s="32"/>
      <c r="O115" s="34">
        <f t="shared" si="35"/>
        <v>0</v>
      </c>
      <c r="P115" s="44"/>
      <c r="Q115" s="44"/>
      <c r="R115" s="37">
        <f t="shared" si="36"/>
        <v>0</v>
      </c>
      <c r="S115" s="38">
        <f t="shared" si="37"/>
        <v>0</v>
      </c>
      <c r="T115" s="39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/>
      <c r="F116" s="52">
        <f>IFERROR(__xludf.DUMMYFUNCTION("""COMPUTED_VALUE"""),0.0)</f>
        <v>0</v>
      </c>
      <c r="G116" s="30">
        <v>50000.0</v>
      </c>
      <c r="H116" s="31">
        <f t="shared" si="31"/>
        <v>0</v>
      </c>
      <c r="I116" s="31">
        <f t="shared" si="32"/>
        <v>0</v>
      </c>
      <c r="J116" s="32" t="str">
        <f t="shared" si="33"/>
        <v/>
      </c>
      <c r="K116" s="32"/>
      <c r="L116" s="33">
        <f t="shared" si="34"/>
        <v>0</v>
      </c>
      <c r="M116" s="32"/>
      <c r="N116" s="32"/>
      <c r="O116" s="34">
        <f t="shared" si="35"/>
        <v>0</v>
      </c>
      <c r="P116" s="44"/>
      <c r="Q116" s="44"/>
      <c r="R116" s="37">
        <f t="shared" si="36"/>
        <v>0</v>
      </c>
      <c r="S116" s="38">
        <f t="shared" si="37"/>
        <v>0</v>
      </c>
      <c r="T116" s="39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/>
      <c r="F117" s="52">
        <f>IFERROR(__xludf.DUMMYFUNCTION("""COMPUTED_VALUE"""),0.0)</f>
        <v>0</v>
      </c>
      <c r="G117" s="30">
        <v>50000.0</v>
      </c>
      <c r="H117" s="31">
        <f t="shared" si="31"/>
        <v>0</v>
      </c>
      <c r="I117" s="31">
        <f t="shared" si="32"/>
        <v>0</v>
      </c>
      <c r="J117" s="32" t="str">
        <f t="shared" si="33"/>
        <v/>
      </c>
      <c r="K117" s="32"/>
      <c r="L117" s="33">
        <f t="shared" si="34"/>
        <v>0</v>
      </c>
      <c r="M117" s="32"/>
      <c r="N117" s="32"/>
      <c r="O117" s="34">
        <f t="shared" si="35"/>
        <v>0</v>
      </c>
      <c r="P117" s="44"/>
      <c r="Q117" s="44"/>
      <c r="R117" s="37">
        <f t="shared" si="36"/>
        <v>0</v>
      </c>
      <c r="S117" s="38">
        <f t="shared" si="37"/>
        <v>0</v>
      </c>
      <c r="T117" s="39"/>
      <c r="U117" s="42">
        <f>IFERROR(__xludf.DUMMYFUNCTION("""COMPUTED_VALUE"""),0.0)</f>
        <v>0</v>
      </c>
    </row>
    <row r="118" ht="37.5" customHeight="1">
      <c r="B118" s="25">
        <v>10.0</v>
      </c>
      <c r="C118" s="49" t="str">
        <f>IFERROR(__xludf.DUMMYFUNCTION("""COMPUTED_VALUE"""),"IIS")</f>
        <v>IIS</v>
      </c>
      <c r="D118" s="27" t="str">
        <f>IFERROR(__xludf.DUMMYFUNCTION("""COMPUTED_VALUE"""),"PACKING")</f>
        <v>PACKING</v>
      </c>
      <c r="E118" s="51"/>
      <c r="F118" s="52">
        <f>IFERROR(__xludf.DUMMYFUNCTION("""COMPUTED_VALUE"""),0.0)</f>
        <v>0</v>
      </c>
      <c r="G118" s="45"/>
      <c r="H118" s="31">
        <f t="shared" si="31"/>
        <v>0</v>
      </c>
      <c r="I118" s="31">
        <f t="shared" si="32"/>
        <v>0</v>
      </c>
      <c r="J118" s="32" t="str">
        <f t="shared" si="33"/>
        <v/>
      </c>
      <c r="K118" s="32"/>
      <c r="L118" s="33">
        <f t="shared" si="34"/>
        <v>0</v>
      </c>
      <c r="M118" s="32"/>
      <c r="N118" s="32"/>
      <c r="O118" s="34">
        <f t="shared" si="35"/>
        <v>0</v>
      </c>
      <c r="P118" s="44"/>
      <c r="Q118" s="44"/>
      <c r="R118" s="37">
        <f t="shared" si="36"/>
        <v>0</v>
      </c>
      <c r="S118" s="38">
        <f t="shared" si="37"/>
        <v>0</v>
      </c>
      <c r="T118" s="39"/>
      <c r="U118" s="42">
        <f>IFERROR(__xludf.DUMMYFUNCTION("""COMPUTED_VALUE"""),0.0)</f>
        <v>0</v>
      </c>
    </row>
    <row r="119" ht="37.5" customHeight="1">
      <c r="B119" s="25">
        <v>11.0</v>
      </c>
      <c r="C119" s="49"/>
      <c r="D119" s="50"/>
      <c r="E119" s="51"/>
      <c r="F119" s="52">
        <f>IFERROR(__xludf.DUMMYFUNCTION("""COMPUTED_VALUE"""),0.0)</f>
        <v>0</v>
      </c>
      <c r="G119" s="45"/>
      <c r="H119" s="31">
        <f t="shared" si="31"/>
        <v>0</v>
      </c>
      <c r="I119" s="31">
        <f t="shared" si="32"/>
        <v>0</v>
      </c>
      <c r="J119" s="32" t="str">
        <f t="shared" si="33"/>
        <v/>
      </c>
      <c r="K119" s="32"/>
      <c r="L119" s="33">
        <f t="shared" si="34"/>
        <v>0</v>
      </c>
      <c r="M119" s="32"/>
      <c r="N119" s="32"/>
      <c r="O119" s="34">
        <f t="shared" si="35"/>
        <v>0</v>
      </c>
      <c r="P119" s="44"/>
      <c r="Q119" s="44"/>
      <c r="R119" s="37">
        <f t="shared" si="36"/>
        <v>0</v>
      </c>
      <c r="S119" s="38">
        <f t="shared" si="37"/>
        <v>0</v>
      </c>
      <c r="T119" s="39"/>
      <c r="U119" s="42">
        <f>IFERROR(__xludf.DUMMYFUNCTION("""COMPUTED_VALUE"""),0.0)</f>
        <v>0</v>
      </c>
    </row>
    <row r="120" ht="37.5" customHeight="1">
      <c r="B120" s="25">
        <v>12.0</v>
      </c>
      <c r="C120" s="49"/>
      <c r="D120" s="50"/>
      <c r="E120" s="51"/>
      <c r="F120" s="52">
        <f>IFERROR(__xludf.DUMMYFUNCTION("""COMPUTED_VALUE"""),0.0)</f>
        <v>0</v>
      </c>
      <c r="G120" s="45"/>
      <c r="H120" s="31">
        <f t="shared" si="31"/>
        <v>0</v>
      </c>
      <c r="I120" s="31">
        <f t="shared" si="32"/>
        <v>0</v>
      </c>
      <c r="J120" s="32" t="str">
        <f t="shared" si="33"/>
        <v/>
      </c>
      <c r="K120" s="32"/>
      <c r="L120" s="33">
        <f t="shared" si="34"/>
        <v>0</v>
      </c>
      <c r="M120" s="32"/>
      <c r="N120" s="32"/>
      <c r="O120" s="34">
        <f t="shared" si="35"/>
        <v>0</v>
      </c>
      <c r="P120" s="44"/>
      <c r="Q120" s="44"/>
      <c r="R120" s="37">
        <f t="shared" si="36"/>
        <v>0</v>
      </c>
      <c r="S120" s="38">
        <f t="shared" si="37"/>
        <v>0</v>
      </c>
      <c r="T120" s="39"/>
      <c r="U120" s="42">
        <f>IFERROR(__xludf.DUMMYFUNCTION("""COMPUTED_VALUE"""),0.0)</f>
        <v>0</v>
      </c>
    </row>
    <row r="121" ht="37.5" customHeight="1">
      <c r="B121" s="25">
        <v>13.0</v>
      </c>
      <c r="C121" s="49"/>
      <c r="D121" s="50"/>
      <c r="E121" s="51"/>
      <c r="F121" s="52">
        <f>IFERROR(__xludf.DUMMYFUNCTION("""COMPUTED_VALUE"""),0.0)</f>
        <v>0</v>
      </c>
      <c r="G121" s="45"/>
      <c r="H121" s="31">
        <f t="shared" si="31"/>
        <v>0</v>
      </c>
      <c r="I121" s="31">
        <f t="shared" si="32"/>
        <v>0</v>
      </c>
      <c r="J121" s="32" t="str">
        <f t="shared" si="33"/>
        <v/>
      </c>
      <c r="K121" s="32"/>
      <c r="L121" s="33">
        <f t="shared" si="34"/>
        <v>0</v>
      </c>
      <c r="M121" s="32"/>
      <c r="N121" s="32"/>
      <c r="O121" s="34">
        <f t="shared" si="35"/>
        <v>0</v>
      </c>
      <c r="P121" s="44"/>
      <c r="Q121" s="44"/>
      <c r="R121" s="37">
        <f t="shared" si="36"/>
        <v>0</v>
      </c>
      <c r="S121" s="38">
        <f t="shared" si="37"/>
        <v>0</v>
      </c>
      <c r="T121" s="39"/>
      <c r="U121" s="42">
        <f>IFERROR(__xludf.DUMMYFUNCTION("""COMPUTED_VALUE"""),0.0)</f>
        <v>0</v>
      </c>
    </row>
    <row r="122" ht="37.5" customHeight="1">
      <c r="B122" s="25">
        <v>14.0</v>
      </c>
      <c r="C122" s="49"/>
      <c r="D122" s="50"/>
      <c r="E122" s="51"/>
      <c r="F122" s="52">
        <f>IFERROR(__xludf.DUMMYFUNCTION("""COMPUTED_VALUE"""),0.0)</f>
        <v>0</v>
      </c>
      <c r="G122" s="45"/>
      <c r="H122" s="31">
        <f t="shared" si="31"/>
        <v>0</v>
      </c>
      <c r="I122" s="31">
        <f t="shared" si="32"/>
        <v>0</v>
      </c>
      <c r="J122" s="32" t="str">
        <f t="shared" si="33"/>
        <v/>
      </c>
      <c r="K122" s="32"/>
      <c r="L122" s="33">
        <f t="shared" si="34"/>
        <v>0</v>
      </c>
      <c r="M122" s="32"/>
      <c r="N122" s="32"/>
      <c r="O122" s="34">
        <f t="shared" si="35"/>
        <v>0</v>
      </c>
      <c r="P122" s="44"/>
      <c r="Q122" s="44"/>
      <c r="R122" s="37">
        <f t="shared" si="36"/>
        <v>0</v>
      </c>
      <c r="S122" s="38">
        <f t="shared" si="37"/>
        <v>0</v>
      </c>
      <c r="T122" s="39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0"/>
      <c r="E123" s="51"/>
      <c r="F123" s="52">
        <f>IFERROR(__xludf.DUMMYFUNCTION("""COMPUTED_VALUE"""),0.0)</f>
        <v>0</v>
      </c>
      <c r="G123" s="45"/>
      <c r="H123" s="31">
        <f t="shared" si="31"/>
        <v>0</v>
      </c>
      <c r="I123" s="31">
        <f t="shared" si="32"/>
        <v>0</v>
      </c>
      <c r="J123" s="32" t="str">
        <f t="shared" si="33"/>
        <v/>
      </c>
      <c r="K123" s="32"/>
      <c r="L123" s="33">
        <f t="shared" si="34"/>
        <v>0</v>
      </c>
      <c r="M123" s="32"/>
      <c r="N123" s="32"/>
      <c r="O123" s="34">
        <f t="shared" si="35"/>
        <v>0</v>
      </c>
      <c r="P123" s="44"/>
      <c r="Q123" s="44"/>
      <c r="R123" s="37">
        <f t="shared" si="36"/>
        <v>0</v>
      </c>
      <c r="S123" s="38">
        <f t="shared" si="37"/>
        <v>0</v>
      </c>
      <c r="T123" s="39"/>
      <c r="U123" s="42">
        <f>IFERROR(__xludf.DUMMYFUNCTION("""COMPUTED_VALUE"""),0.0)</f>
        <v>0</v>
      </c>
    </row>
    <row r="124" ht="37.5" customHeight="1">
      <c r="B124" s="25">
        <v>16.0</v>
      </c>
      <c r="C124" s="49"/>
      <c r="D124" s="50"/>
      <c r="E124" s="51"/>
      <c r="F124" s="52">
        <f>IFERROR(__xludf.DUMMYFUNCTION("""COMPUTED_VALUE"""),0.0)</f>
        <v>0</v>
      </c>
      <c r="G124" s="45"/>
      <c r="H124" s="31">
        <f t="shared" si="31"/>
        <v>0</v>
      </c>
      <c r="I124" s="31">
        <f t="shared" si="32"/>
        <v>0</v>
      </c>
      <c r="J124" s="32" t="str">
        <f t="shared" si="33"/>
        <v/>
      </c>
      <c r="K124" s="32"/>
      <c r="L124" s="33">
        <f t="shared" si="34"/>
        <v>0</v>
      </c>
      <c r="M124" s="32"/>
      <c r="N124" s="32"/>
      <c r="O124" s="34">
        <f t="shared" si="35"/>
        <v>0</v>
      </c>
      <c r="P124" s="44"/>
      <c r="Q124" s="44"/>
      <c r="R124" s="37">
        <f t="shared" si="36"/>
        <v>0</v>
      </c>
      <c r="S124" s="38">
        <f t="shared" si="37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49"/>
      <c r="D125" s="50"/>
      <c r="E125" s="51"/>
      <c r="F125" s="52">
        <f>IFERROR(__xludf.DUMMYFUNCTION("""COMPUTED_VALUE"""),0.0)</f>
        <v>0</v>
      </c>
      <c r="G125" s="45"/>
      <c r="H125" s="31">
        <f t="shared" si="31"/>
        <v>0</v>
      </c>
      <c r="I125" s="31">
        <f t="shared" si="32"/>
        <v>0</v>
      </c>
      <c r="J125" s="32" t="str">
        <f t="shared" si="33"/>
        <v/>
      </c>
      <c r="K125" s="32"/>
      <c r="L125" s="33">
        <f t="shared" si="34"/>
        <v>0</v>
      </c>
      <c r="M125" s="32"/>
      <c r="N125" s="32"/>
      <c r="O125" s="34">
        <f t="shared" si="35"/>
        <v>0</v>
      </c>
      <c r="P125" s="44"/>
      <c r="Q125" s="44"/>
      <c r="R125" s="37">
        <f t="shared" si="36"/>
        <v>0</v>
      </c>
      <c r="S125" s="38">
        <f t="shared" si="37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1"/>
        <v>0</v>
      </c>
      <c r="I126" s="31">
        <f t="shared" si="32"/>
        <v>0</v>
      </c>
      <c r="J126" s="32" t="str">
        <f t="shared" si="33"/>
        <v/>
      </c>
      <c r="K126" s="32"/>
      <c r="L126" s="33">
        <f t="shared" si="34"/>
        <v>0</v>
      </c>
      <c r="M126" s="32"/>
      <c r="N126" s="32"/>
      <c r="O126" s="34">
        <f t="shared" si="35"/>
        <v>0</v>
      </c>
      <c r="P126" s="44"/>
      <c r="Q126" s="44"/>
      <c r="R126" s="37">
        <f t="shared" si="36"/>
        <v>0</v>
      </c>
      <c r="S126" s="38">
        <f t="shared" si="37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1"/>
        <v>0</v>
      </c>
      <c r="I127" s="31">
        <f t="shared" si="32"/>
        <v>0</v>
      </c>
      <c r="J127" s="32" t="str">
        <f t="shared" si="33"/>
        <v/>
      </c>
      <c r="K127" s="32"/>
      <c r="L127" s="33">
        <f t="shared" si="34"/>
        <v>0</v>
      </c>
      <c r="M127" s="32"/>
      <c r="N127" s="32"/>
      <c r="O127" s="34">
        <f t="shared" si="35"/>
        <v>0</v>
      </c>
      <c r="P127" s="44"/>
      <c r="Q127" s="44"/>
      <c r="R127" s="37">
        <f t="shared" si="36"/>
        <v>0</v>
      </c>
      <c r="S127" s="38">
        <f t="shared" si="37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1"/>
        <v>0</v>
      </c>
      <c r="I128" s="31">
        <f t="shared" si="32"/>
        <v>0</v>
      </c>
      <c r="J128" s="32" t="str">
        <f t="shared" si="33"/>
        <v/>
      </c>
      <c r="K128" s="32"/>
      <c r="L128" s="33">
        <f t="shared" si="34"/>
        <v>0</v>
      </c>
      <c r="M128" s="32"/>
      <c r="N128" s="32"/>
      <c r="O128" s="34">
        <f t="shared" si="35"/>
        <v>0</v>
      </c>
      <c r="P128" s="44"/>
      <c r="Q128" s="44"/>
      <c r="R128" s="37">
        <f t="shared" si="36"/>
        <v>0</v>
      </c>
      <c r="S128" s="38">
        <f t="shared" si="37"/>
        <v>0</v>
      </c>
      <c r="T128" s="51"/>
      <c r="U128" s="42">
        <f>IFERROR(__xludf.DUMMYFUNCTION("""COMPUTED_VALUE"""),0.0)</f>
        <v>0</v>
      </c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1"/>
        <v>0</v>
      </c>
      <c r="I129" s="31">
        <f t="shared" si="32"/>
        <v>0</v>
      </c>
      <c r="J129" s="32" t="str">
        <f t="shared" si="33"/>
        <v/>
      </c>
      <c r="K129" s="32"/>
      <c r="L129" s="33">
        <f t="shared" si="34"/>
        <v>0</v>
      </c>
      <c r="M129" s="32"/>
      <c r="N129" s="32"/>
      <c r="O129" s="34">
        <f t="shared" si="35"/>
        <v>0</v>
      </c>
      <c r="P129" s="44"/>
      <c r="Q129" s="44"/>
      <c r="R129" s="37">
        <f t="shared" si="36"/>
        <v>0</v>
      </c>
      <c r="S129" s="38">
        <f t="shared" si="37"/>
        <v>0</v>
      </c>
      <c r="T129" s="51"/>
      <c r="U129" s="42"/>
    </row>
    <row r="130" ht="37.5" customHeight="1">
      <c r="B130" s="25">
        <v>22.0</v>
      </c>
      <c r="C130" s="144"/>
      <c r="D130" s="42"/>
      <c r="E130" s="42"/>
      <c r="F130" s="42"/>
      <c r="G130" s="53"/>
      <c r="H130" s="31">
        <f t="shared" si="31"/>
        <v>0</v>
      </c>
      <c r="I130" s="31">
        <f t="shared" si="32"/>
        <v>0</v>
      </c>
      <c r="J130" s="32" t="str">
        <f t="shared" si="33"/>
        <v/>
      </c>
      <c r="K130" s="32"/>
      <c r="L130" s="33">
        <f t="shared" si="34"/>
        <v>0</v>
      </c>
      <c r="M130" s="32"/>
      <c r="N130" s="32"/>
      <c r="O130" s="34">
        <f t="shared" si="35"/>
        <v>0</v>
      </c>
      <c r="P130" s="44"/>
      <c r="Q130" s="44"/>
      <c r="R130" s="37">
        <f t="shared" si="36"/>
        <v>0</v>
      </c>
      <c r="S130" s="38">
        <f t="shared" si="37"/>
        <v>0</v>
      </c>
      <c r="T130" s="51"/>
      <c r="U130" s="42"/>
    </row>
    <row r="131">
      <c r="B131" s="54"/>
      <c r="F131" s="55" t="s">
        <v>21</v>
      </c>
      <c r="S131" s="56">
        <f>SUM(S109:S130)</f>
        <v>0</v>
      </c>
      <c r="T131" s="57"/>
      <c r="U131" s="58"/>
    </row>
    <row r="132" ht="37.5" customHeight="1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 ht="37.5" customHeight="1">
      <c r="B133" s="21" t="str">
        <f>IFERROR(__xludf.DUMMYFUNCTION("IMPORTRANGE(""https://docs.google.com/spreadsheets/d/17TnzcKnlaqlAyM_3lnNpgK5CAOPbscCCRVH50X8UulY/edit?usp=sharing"",""AGUSTUS!B116"")"),"TANGGAL : 31 AGUSTUS 2026")</f>
        <v>TANGGAL : 31 AGUSTUS 2026</v>
      </c>
      <c r="F133" s="22"/>
      <c r="G133" s="22"/>
      <c r="H133" s="22"/>
      <c r="I133" s="22"/>
      <c r="J133" s="22"/>
      <c r="K133" s="22"/>
      <c r="L133" s="23">
        <v>15000.0</v>
      </c>
      <c r="M133" s="22"/>
      <c r="N133" s="22"/>
      <c r="O133" s="22"/>
      <c r="P133" s="22"/>
      <c r="Q133" s="22"/>
      <c r="R133" s="22"/>
      <c r="S133" s="22"/>
      <c r="T133" s="22"/>
      <c r="U133" s="22"/>
    </row>
    <row r="134" ht="37.5" customHeight="1">
      <c r="A134" s="24"/>
      <c r="B134" s="25">
        <v>1.0</v>
      </c>
      <c r="C134" s="26" t="str">
        <f>IFERROR(__xludf.DUMMYFUNCTION("IMPORTRANGE(""https://docs.google.com/spreadsheets/d/17TnzcKnlaqlAyM_3lnNpgK5CAOPbscCCRVH50X8UulY/edit?usp=sharing"",""AGUSTUS!B117:D136"")"),"EPUL")</f>
        <v>EPUL</v>
      </c>
      <c r="D134" s="27" t="str">
        <f>IFERROR(__xludf.DUMMYFUNCTION("""COMPUTED_VALUE"""),"KEPALA")</f>
        <v>KEPALA</v>
      </c>
      <c r="E134" s="28"/>
      <c r="F134" s="52">
        <f>IFERROR(__xludf.DUMMYFUNCTION("IMPORTRANGE(""https://docs.google.com/spreadsheets/d/17TnzcKnlaqlAyM_3lnNpgK5CAOPbscCCRVH50X8UulY/edit?usp=sharing"",""AGUSTUS!K117:K135"")"),0.0)</f>
        <v>0</v>
      </c>
      <c r="G134" s="30">
        <v>110000.0</v>
      </c>
      <c r="H134" s="31">
        <f t="shared" ref="H134:H155" si="38">F134*G134</f>
        <v>0</v>
      </c>
      <c r="I134" s="31">
        <f t="shared" ref="I134:I155" si="39">F134*10000</f>
        <v>0</v>
      </c>
      <c r="J134" s="32" t="str">
        <f t="shared" ref="J134:J155" si="40">IF(E134="SHIFT 2",I134,"")</f>
        <v/>
      </c>
      <c r="K134" s="32"/>
      <c r="L134" s="33">
        <f t="shared" ref="L134:L155" si="41">U134*$L$108</f>
        <v>0</v>
      </c>
      <c r="M134" s="32"/>
      <c r="N134" s="32"/>
      <c r="O134" s="34">
        <f t="shared" ref="O134:O155" si="42">SUM(H134:N134)</f>
        <v>0</v>
      </c>
      <c r="P134" s="44"/>
      <c r="Q134" s="44"/>
      <c r="R134" s="37">
        <f t="shared" ref="R134:R155" si="43">SUM(P134:Q134)</f>
        <v>0</v>
      </c>
      <c r="S134" s="38">
        <f t="shared" ref="S134:S155" si="44">O134-R134</f>
        <v>0</v>
      </c>
      <c r="T134" s="39" t="str">
        <f>IFERROR(__xludf.DUMMYFUNCTION("IMPORTRANGE(""https://docs.google.com/spreadsheets/d/17TnzcKnlaqlAyM_3lnNpgK5CAOPbscCCRVH50X8UulY/edit?usp=sharing"",""AGUSTUS!L117:L136"")"),"")</f>
        <v/>
      </c>
      <c r="U134" s="42">
        <f>IFERROR(__xludf.DUMMYFUNCTION("IMPORTRANGE(""https://docs.google.com/spreadsheets/d/17TnzcKnlaqlAyM_3lnNpgK5CAOPbscCCRVH50X8UulY/edit?usp=sharing"",""AGUSTUS!U117:U136"")"),0.0)</f>
        <v>0</v>
      </c>
      <c r="V134" s="24"/>
      <c r="W134" s="24"/>
    </row>
    <row r="135" ht="37.5" customHeight="1">
      <c r="A135" s="24"/>
      <c r="B135" s="25">
        <v>2.0</v>
      </c>
      <c r="C135" s="26" t="str">
        <f>IFERROR(__xludf.DUMMYFUNCTION("""COMPUTED_VALUE"""),"HISMI")</f>
        <v>HISMI</v>
      </c>
      <c r="D135" s="27" t="str">
        <f>IFERROR(__xludf.DUMMYFUNCTION("""COMPUTED_VALUE"""),"ADMIN")</f>
        <v>ADMIN</v>
      </c>
      <c r="E135" s="28"/>
      <c r="F135" s="52">
        <f>IFERROR(__xludf.DUMMYFUNCTION("""COMPUTED_VALUE"""),0.0)</f>
        <v>0</v>
      </c>
      <c r="G135" s="30">
        <v>70000.0</v>
      </c>
      <c r="H135" s="31">
        <f t="shared" si="38"/>
        <v>0</v>
      </c>
      <c r="I135" s="31">
        <f t="shared" si="39"/>
        <v>0</v>
      </c>
      <c r="J135" s="32" t="str">
        <f t="shared" si="40"/>
        <v/>
      </c>
      <c r="K135" s="41"/>
      <c r="L135" s="33">
        <f t="shared" si="41"/>
        <v>0</v>
      </c>
      <c r="M135" s="41"/>
      <c r="N135" s="41"/>
      <c r="O135" s="34">
        <f t="shared" si="42"/>
        <v>0</v>
      </c>
      <c r="P135" s="44"/>
      <c r="Q135" s="44"/>
      <c r="R135" s="37">
        <f t="shared" si="43"/>
        <v>0</v>
      </c>
      <c r="S135" s="38">
        <f t="shared" si="44"/>
        <v>0</v>
      </c>
      <c r="T135" s="39"/>
      <c r="U135" s="42">
        <f>IFERROR(__xludf.DUMMYFUNCTION("""COMPUTED_VALUE"""),0.0)</f>
        <v>0</v>
      </c>
      <c r="V135" s="24"/>
      <c r="W135" s="24"/>
    </row>
    <row r="136" ht="37.5" customHeight="1">
      <c r="A136" s="24"/>
      <c r="B136" s="25">
        <v>3.0</v>
      </c>
      <c r="C136" s="26" t="str">
        <f>IFERROR(__xludf.DUMMYFUNCTION("""COMPUTED_VALUE"""),"KHRYSSAN")</f>
        <v>KHRYSSAN</v>
      </c>
      <c r="D136" s="27" t="str">
        <f>IFERROR(__xludf.DUMMYFUNCTION("""COMPUTED_VALUE"""),"ADMIN")</f>
        <v>ADMIN</v>
      </c>
      <c r="E136" s="28"/>
      <c r="F136" s="52">
        <f>IFERROR(__xludf.DUMMYFUNCTION("""COMPUTED_VALUE"""),0.0)</f>
        <v>0</v>
      </c>
      <c r="G136" s="30">
        <v>70000.0</v>
      </c>
      <c r="H136" s="31">
        <f t="shared" si="38"/>
        <v>0</v>
      </c>
      <c r="I136" s="31">
        <f t="shared" si="39"/>
        <v>0</v>
      </c>
      <c r="J136" s="32" t="str">
        <f t="shared" si="40"/>
        <v/>
      </c>
      <c r="K136" s="41"/>
      <c r="L136" s="33">
        <f t="shared" si="41"/>
        <v>0</v>
      </c>
      <c r="M136" s="41"/>
      <c r="N136" s="41"/>
      <c r="O136" s="34">
        <f t="shared" si="42"/>
        <v>0</v>
      </c>
      <c r="P136" s="44"/>
      <c r="Q136" s="44"/>
      <c r="R136" s="37">
        <f t="shared" si="43"/>
        <v>0</v>
      </c>
      <c r="S136" s="38">
        <f t="shared" si="44"/>
        <v>0</v>
      </c>
      <c r="T136" s="39"/>
      <c r="U136" s="42">
        <f>IFERROR(__xludf.DUMMYFUNCTION("""COMPUTED_VALUE"""),0.0)</f>
        <v>0</v>
      </c>
      <c r="V136" s="24"/>
      <c r="W136" s="24"/>
    </row>
    <row r="137" ht="37.5" customHeight="1">
      <c r="B137" s="25">
        <v>4.0</v>
      </c>
      <c r="C137" s="26" t="str">
        <f>IFERROR(__xludf.DUMMYFUNCTION("""COMPUTED_VALUE"""),"ANDRI")</f>
        <v>ANDRI</v>
      </c>
      <c r="D137" s="27" t="str">
        <f>IFERROR(__xludf.DUMMYFUNCTION("""COMPUTED_VALUE"""),"DESIGN BORDIR")</f>
        <v>DESIGN BORDIR</v>
      </c>
      <c r="E137" s="28"/>
      <c r="F137" s="52">
        <f>IFERROR(__xludf.DUMMYFUNCTION("""COMPUTED_VALUE"""),0.0)</f>
        <v>0</v>
      </c>
      <c r="G137" s="30">
        <v>70000.0</v>
      </c>
      <c r="H137" s="31">
        <f t="shared" si="38"/>
        <v>0</v>
      </c>
      <c r="I137" s="31">
        <f t="shared" si="39"/>
        <v>0</v>
      </c>
      <c r="J137" s="32" t="str">
        <f t="shared" si="40"/>
        <v/>
      </c>
      <c r="K137" s="32"/>
      <c r="L137" s="33">
        <f t="shared" si="41"/>
        <v>0</v>
      </c>
      <c r="M137" s="32"/>
      <c r="N137" s="32"/>
      <c r="O137" s="34">
        <f t="shared" si="42"/>
        <v>0</v>
      </c>
      <c r="P137" s="44"/>
      <c r="Q137" s="44"/>
      <c r="R137" s="37">
        <f t="shared" si="43"/>
        <v>0</v>
      </c>
      <c r="S137" s="38">
        <f t="shared" si="44"/>
        <v>0</v>
      </c>
      <c r="T137" s="39"/>
      <c r="U137" s="42">
        <f>IFERROR(__xludf.DUMMYFUNCTION("""COMPUTED_VALUE"""),0.0)</f>
        <v>0</v>
      </c>
    </row>
    <row r="138" ht="37.5" customHeight="1">
      <c r="B138" s="25">
        <v>5.0</v>
      </c>
      <c r="C138" s="26" t="str">
        <f>IFERROR(__xludf.DUMMYFUNCTION("""COMPUTED_VALUE"""),"ADIT")</f>
        <v>ADIT</v>
      </c>
      <c r="D138" s="27" t="str">
        <f>IFERROR(__xludf.DUMMYFUNCTION("""COMPUTED_VALUE"""),"CREATOR")</f>
        <v>CREATOR</v>
      </c>
      <c r="E138" s="28"/>
      <c r="F138" s="52">
        <f>IFERROR(__xludf.DUMMYFUNCTION("""COMPUTED_VALUE"""),0.0)</f>
        <v>0</v>
      </c>
      <c r="G138" s="30">
        <v>50000.0</v>
      </c>
      <c r="H138" s="31">
        <f t="shared" si="38"/>
        <v>0</v>
      </c>
      <c r="I138" s="31">
        <f t="shared" si="39"/>
        <v>0</v>
      </c>
      <c r="J138" s="32" t="str">
        <f t="shared" si="40"/>
        <v/>
      </c>
      <c r="K138" s="32"/>
      <c r="L138" s="33">
        <f t="shared" si="41"/>
        <v>0</v>
      </c>
      <c r="M138" s="32"/>
      <c r="N138" s="32"/>
      <c r="O138" s="34">
        <f t="shared" si="42"/>
        <v>0</v>
      </c>
      <c r="P138" s="44"/>
      <c r="Q138" s="44"/>
      <c r="R138" s="37">
        <f t="shared" si="43"/>
        <v>0</v>
      </c>
      <c r="S138" s="38">
        <f t="shared" si="44"/>
        <v>0</v>
      </c>
      <c r="T138" s="39"/>
      <c r="U138" s="42">
        <f>IFERROR(__xludf.DUMMYFUNCTION("""COMPUTED_VALUE"""),0.0)</f>
        <v>0</v>
      </c>
    </row>
    <row r="139" ht="37.5" customHeight="1">
      <c r="B139" s="25">
        <v>6.0</v>
      </c>
      <c r="C139" s="26" t="str">
        <f>IFERROR(__xludf.DUMMYFUNCTION("""COMPUTED_VALUE"""),"WILI")</f>
        <v>WILI</v>
      </c>
      <c r="D139" s="27" t="str">
        <f>IFERROR(__xludf.DUMMYFUNCTION("""COMPUTED_VALUE"""),"OP MESIN")</f>
        <v>OP MESIN</v>
      </c>
      <c r="E139" s="28"/>
      <c r="F139" s="52">
        <f>IFERROR(__xludf.DUMMYFUNCTION("""COMPUTED_VALUE"""),0.0)</f>
        <v>0</v>
      </c>
      <c r="G139" s="30">
        <v>70000.0</v>
      </c>
      <c r="H139" s="31">
        <f t="shared" si="38"/>
        <v>0</v>
      </c>
      <c r="I139" s="31">
        <f t="shared" si="39"/>
        <v>0</v>
      </c>
      <c r="J139" s="32" t="str">
        <f t="shared" si="40"/>
        <v/>
      </c>
      <c r="K139" s="32"/>
      <c r="L139" s="33">
        <f t="shared" si="41"/>
        <v>0</v>
      </c>
      <c r="M139" s="32"/>
      <c r="N139" s="32"/>
      <c r="O139" s="34">
        <f t="shared" si="42"/>
        <v>0</v>
      </c>
      <c r="P139" s="44"/>
      <c r="Q139" s="44"/>
      <c r="R139" s="37">
        <f t="shared" si="43"/>
        <v>0</v>
      </c>
      <c r="S139" s="38">
        <f t="shared" si="44"/>
        <v>0</v>
      </c>
      <c r="T139" s="39"/>
      <c r="U139" s="42">
        <f>IFERROR(__xludf.DUMMYFUNCTION("""COMPUTED_VALUE"""),0.0)</f>
        <v>0</v>
      </c>
    </row>
    <row r="140" ht="37.5" customHeight="1">
      <c r="B140" s="25">
        <v>7.0</v>
      </c>
      <c r="C140" s="26" t="str">
        <f>IFERROR(__xludf.DUMMYFUNCTION("""COMPUTED_VALUE"""),"OGA")</f>
        <v>OGA</v>
      </c>
      <c r="D140" s="27" t="str">
        <f>IFERROR(__xludf.DUMMYFUNCTION("""COMPUTED_VALUE"""),"OP MESIN")</f>
        <v>OP MESIN</v>
      </c>
      <c r="E140" s="28"/>
      <c r="F140" s="52">
        <f>IFERROR(__xludf.DUMMYFUNCTION("""COMPUTED_VALUE"""),0.0)</f>
        <v>0</v>
      </c>
      <c r="G140" s="30">
        <v>70000.0</v>
      </c>
      <c r="H140" s="31">
        <f t="shared" si="38"/>
        <v>0</v>
      </c>
      <c r="I140" s="31">
        <f t="shared" si="39"/>
        <v>0</v>
      </c>
      <c r="J140" s="32" t="str">
        <f t="shared" si="40"/>
        <v/>
      </c>
      <c r="K140" s="32"/>
      <c r="L140" s="33">
        <f t="shared" si="41"/>
        <v>0</v>
      </c>
      <c r="M140" s="32"/>
      <c r="N140" s="32"/>
      <c r="O140" s="34">
        <f t="shared" si="42"/>
        <v>0</v>
      </c>
      <c r="P140" s="44"/>
      <c r="Q140" s="44"/>
      <c r="R140" s="37">
        <f t="shared" si="43"/>
        <v>0</v>
      </c>
      <c r="S140" s="38">
        <f t="shared" si="44"/>
        <v>0</v>
      </c>
      <c r="T140" s="39"/>
      <c r="U140" s="42">
        <f>IFERROR(__xludf.DUMMYFUNCTION("""COMPUTED_VALUE"""),0.0)</f>
        <v>0</v>
      </c>
    </row>
    <row r="141" ht="37.5" customHeight="1">
      <c r="B141" s="25">
        <v>8.0</v>
      </c>
      <c r="C141" s="26" t="str">
        <f>IFERROR(__xludf.DUMMYFUNCTION("""COMPUTED_VALUE"""),"ASEP")</f>
        <v>ASEP</v>
      </c>
      <c r="D141" s="27" t="str">
        <f>IFERROR(__xludf.DUMMYFUNCTION("""COMPUTED_VALUE"""),"OP MESIN")</f>
        <v>OP MESIN</v>
      </c>
      <c r="E141" s="28"/>
      <c r="F141" s="52">
        <f>IFERROR(__xludf.DUMMYFUNCTION("""COMPUTED_VALUE"""),0.0)</f>
        <v>0</v>
      </c>
      <c r="G141" s="30">
        <v>50000.0</v>
      </c>
      <c r="H141" s="31">
        <f t="shared" si="38"/>
        <v>0</v>
      </c>
      <c r="I141" s="31">
        <f t="shared" si="39"/>
        <v>0</v>
      </c>
      <c r="J141" s="32" t="str">
        <f t="shared" si="40"/>
        <v/>
      </c>
      <c r="K141" s="32"/>
      <c r="L141" s="33">
        <f t="shared" si="41"/>
        <v>0</v>
      </c>
      <c r="M141" s="32"/>
      <c r="N141" s="32"/>
      <c r="O141" s="34">
        <f t="shared" si="42"/>
        <v>0</v>
      </c>
      <c r="P141" s="44"/>
      <c r="Q141" s="44"/>
      <c r="R141" s="37">
        <f t="shared" si="43"/>
        <v>0</v>
      </c>
      <c r="S141" s="38">
        <f t="shared" si="44"/>
        <v>0</v>
      </c>
      <c r="T141" s="39"/>
      <c r="U141" s="42">
        <f>IFERROR(__xludf.DUMMYFUNCTION("""COMPUTED_VALUE"""),0.0)</f>
        <v>0</v>
      </c>
    </row>
    <row r="142" ht="37.5" customHeight="1">
      <c r="B142" s="25">
        <v>9.0</v>
      </c>
      <c r="C142" s="26" t="str">
        <f>IFERROR(__xludf.DUMMYFUNCTION("""COMPUTED_VALUE"""),"HIFNI")</f>
        <v>HIFNI</v>
      </c>
      <c r="D142" s="27" t="str">
        <f>IFERROR(__xludf.DUMMYFUNCTION("""COMPUTED_VALUE"""),"OP MESIN")</f>
        <v>OP MESIN</v>
      </c>
      <c r="E142" s="28"/>
      <c r="F142" s="52">
        <f>IFERROR(__xludf.DUMMYFUNCTION("""COMPUTED_VALUE"""),0.0)</f>
        <v>0</v>
      </c>
      <c r="G142" s="30">
        <v>50000.0</v>
      </c>
      <c r="H142" s="31">
        <f t="shared" si="38"/>
        <v>0</v>
      </c>
      <c r="I142" s="31">
        <f t="shared" si="39"/>
        <v>0</v>
      </c>
      <c r="J142" s="32" t="str">
        <f t="shared" si="40"/>
        <v/>
      </c>
      <c r="K142" s="32"/>
      <c r="L142" s="33">
        <f t="shared" si="41"/>
        <v>0</v>
      </c>
      <c r="M142" s="32"/>
      <c r="N142" s="32"/>
      <c r="O142" s="34">
        <f t="shared" si="42"/>
        <v>0</v>
      </c>
      <c r="P142" s="44"/>
      <c r="Q142" s="44"/>
      <c r="R142" s="37">
        <f t="shared" si="43"/>
        <v>0</v>
      </c>
      <c r="S142" s="38">
        <f t="shared" si="44"/>
        <v>0</v>
      </c>
      <c r="T142" s="39"/>
      <c r="U142" s="42">
        <f>IFERROR(__xludf.DUMMYFUNCTION("""COMPUTED_VALUE"""),0.0)</f>
        <v>0</v>
      </c>
    </row>
    <row r="143" ht="37.5" customHeight="1">
      <c r="B143" s="25">
        <v>10.0</v>
      </c>
      <c r="C143" s="49" t="str">
        <f>IFERROR(__xludf.DUMMYFUNCTION("""COMPUTED_VALUE"""),"IIS")</f>
        <v>IIS</v>
      </c>
      <c r="D143" s="27" t="str">
        <f>IFERROR(__xludf.DUMMYFUNCTION("""COMPUTED_VALUE"""),"PACKING")</f>
        <v>PACKING</v>
      </c>
      <c r="E143" s="51"/>
      <c r="F143" s="52">
        <f>IFERROR(__xludf.DUMMYFUNCTION("""COMPUTED_VALUE"""),0.0)</f>
        <v>0</v>
      </c>
      <c r="G143" s="45"/>
      <c r="H143" s="31">
        <f t="shared" si="38"/>
        <v>0</v>
      </c>
      <c r="I143" s="31">
        <f t="shared" si="39"/>
        <v>0</v>
      </c>
      <c r="J143" s="32" t="str">
        <f t="shared" si="40"/>
        <v/>
      </c>
      <c r="K143" s="32"/>
      <c r="L143" s="33">
        <f t="shared" si="41"/>
        <v>0</v>
      </c>
      <c r="M143" s="32"/>
      <c r="N143" s="32"/>
      <c r="O143" s="34">
        <f t="shared" si="42"/>
        <v>0</v>
      </c>
      <c r="P143" s="44"/>
      <c r="Q143" s="44"/>
      <c r="R143" s="37">
        <f t="shared" si="43"/>
        <v>0</v>
      </c>
      <c r="S143" s="38">
        <f t="shared" si="44"/>
        <v>0</v>
      </c>
      <c r="T143" s="39"/>
      <c r="U143" s="42">
        <f>IFERROR(__xludf.DUMMYFUNCTION("""COMPUTED_VALUE"""),0.0)</f>
        <v>0</v>
      </c>
    </row>
    <row r="144" ht="37.5" customHeight="1">
      <c r="B144" s="25">
        <v>11.0</v>
      </c>
      <c r="C144" s="49"/>
      <c r="D144" s="50"/>
      <c r="E144" s="51"/>
      <c r="F144" s="52">
        <f>IFERROR(__xludf.DUMMYFUNCTION("""COMPUTED_VALUE"""),0.0)</f>
        <v>0</v>
      </c>
      <c r="G144" s="45"/>
      <c r="H144" s="31">
        <f t="shared" si="38"/>
        <v>0</v>
      </c>
      <c r="I144" s="31">
        <f t="shared" si="39"/>
        <v>0</v>
      </c>
      <c r="J144" s="32" t="str">
        <f t="shared" si="40"/>
        <v/>
      </c>
      <c r="K144" s="32"/>
      <c r="L144" s="33">
        <f t="shared" si="41"/>
        <v>0</v>
      </c>
      <c r="M144" s="32"/>
      <c r="N144" s="32"/>
      <c r="O144" s="34">
        <f t="shared" si="42"/>
        <v>0</v>
      </c>
      <c r="P144" s="44"/>
      <c r="Q144" s="44"/>
      <c r="R144" s="37">
        <f t="shared" si="43"/>
        <v>0</v>
      </c>
      <c r="S144" s="38">
        <f t="shared" si="44"/>
        <v>0</v>
      </c>
      <c r="T144" s="39"/>
      <c r="U144" s="42">
        <f>IFERROR(__xludf.DUMMYFUNCTION("""COMPUTED_VALUE"""),0.0)</f>
        <v>0</v>
      </c>
    </row>
    <row r="145" ht="37.5" customHeight="1">
      <c r="B145" s="25">
        <v>12.0</v>
      </c>
      <c r="C145" s="49"/>
      <c r="D145" s="50"/>
      <c r="E145" s="51"/>
      <c r="F145" s="52">
        <f>IFERROR(__xludf.DUMMYFUNCTION("""COMPUTED_VALUE"""),0.0)</f>
        <v>0</v>
      </c>
      <c r="G145" s="45"/>
      <c r="H145" s="31">
        <f t="shared" si="38"/>
        <v>0</v>
      </c>
      <c r="I145" s="31">
        <f t="shared" si="39"/>
        <v>0</v>
      </c>
      <c r="J145" s="32" t="str">
        <f t="shared" si="40"/>
        <v/>
      </c>
      <c r="K145" s="32"/>
      <c r="L145" s="33">
        <f t="shared" si="41"/>
        <v>0</v>
      </c>
      <c r="M145" s="32"/>
      <c r="N145" s="32"/>
      <c r="O145" s="34">
        <f t="shared" si="42"/>
        <v>0</v>
      </c>
      <c r="P145" s="44"/>
      <c r="Q145" s="44"/>
      <c r="R145" s="37">
        <f t="shared" si="43"/>
        <v>0</v>
      </c>
      <c r="S145" s="38">
        <f t="shared" si="44"/>
        <v>0</v>
      </c>
      <c r="T145" s="39"/>
      <c r="U145" s="42">
        <f>IFERROR(__xludf.DUMMYFUNCTION("""COMPUTED_VALUE"""),0.0)</f>
        <v>0</v>
      </c>
    </row>
    <row r="146" ht="37.5" customHeight="1">
      <c r="B146" s="25">
        <v>13.0</v>
      </c>
      <c r="C146" s="49"/>
      <c r="D146" s="50"/>
      <c r="E146" s="51"/>
      <c r="F146" s="52">
        <f>IFERROR(__xludf.DUMMYFUNCTION("""COMPUTED_VALUE"""),0.0)</f>
        <v>0</v>
      </c>
      <c r="G146" s="45"/>
      <c r="H146" s="31">
        <f t="shared" si="38"/>
        <v>0</v>
      </c>
      <c r="I146" s="31">
        <f t="shared" si="39"/>
        <v>0</v>
      </c>
      <c r="J146" s="32" t="str">
        <f t="shared" si="40"/>
        <v/>
      </c>
      <c r="K146" s="32"/>
      <c r="L146" s="33">
        <f t="shared" si="41"/>
        <v>0</v>
      </c>
      <c r="M146" s="32"/>
      <c r="N146" s="32"/>
      <c r="O146" s="34">
        <f t="shared" si="42"/>
        <v>0</v>
      </c>
      <c r="P146" s="44"/>
      <c r="Q146" s="44"/>
      <c r="R146" s="37">
        <f t="shared" si="43"/>
        <v>0</v>
      </c>
      <c r="S146" s="38">
        <f t="shared" si="44"/>
        <v>0</v>
      </c>
      <c r="T146" s="39"/>
      <c r="U146" s="42">
        <f>IFERROR(__xludf.DUMMYFUNCTION("""COMPUTED_VALUE"""),0.0)</f>
        <v>0</v>
      </c>
    </row>
    <row r="147" ht="37.5" customHeight="1">
      <c r="B147" s="25">
        <v>14.0</v>
      </c>
      <c r="C147" s="49"/>
      <c r="D147" s="50"/>
      <c r="E147" s="51"/>
      <c r="F147" s="52">
        <f>IFERROR(__xludf.DUMMYFUNCTION("""COMPUTED_VALUE"""),0.0)</f>
        <v>0</v>
      </c>
      <c r="G147" s="45"/>
      <c r="H147" s="31">
        <f t="shared" si="38"/>
        <v>0</v>
      </c>
      <c r="I147" s="31">
        <f t="shared" si="39"/>
        <v>0</v>
      </c>
      <c r="J147" s="32" t="str">
        <f t="shared" si="40"/>
        <v/>
      </c>
      <c r="K147" s="32"/>
      <c r="L147" s="33">
        <f t="shared" si="41"/>
        <v>0</v>
      </c>
      <c r="M147" s="32"/>
      <c r="N147" s="32"/>
      <c r="O147" s="34">
        <f t="shared" si="42"/>
        <v>0</v>
      </c>
      <c r="P147" s="44"/>
      <c r="Q147" s="44"/>
      <c r="R147" s="37">
        <f t="shared" si="43"/>
        <v>0</v>
      </c>
      <c r="S147" s="38">
        <f t="shared" si="44"/>
        <v>0</v>
      </c>
      <c r="T147" s="39"/>
      <c r="U147" s="42">
        <f>IFERROR(__xludf.DUMMYFUNCTION("""COMPUTED_VALUE"""),0.0)</f>
        <v>0</v>
      </c>
    </row>
    <row r="148" ht="37.5" customHeight="1">
      <c r="B148" s="25">
        <v>15.0</v>
      </c>
      <c r="C148" s="49"/>
      <c r="D148" s="51"/>
      <c r="E148" s="51"/>
      <c r="F148" s="42">
        <f>IFERROR(__xludf.DUMMYFUNCTION("""COMPUTED_VALUE"""),0.0)</f>
        <v>0</v>
      </c>
      <c r="G148" s="45"/>
      <c r="H148" s="31">
        <f t="shared" si="38"/>
        <v>0</v>
      </c>
      <c r="I148" s="31">
        <f t="shared" si="39"/>
        <v>0</v>
      </c>
      <c r="J148" s="32" t="str">
        <f t="shared" si="40"/>
        <v/>
      </c>
      <c r="K148" s="32"/>
      <c r="L148" s="33">
        <f t="shared" si="41"/>
        <v>0</v>
      </c>
      <c r="M148" s="32"/>
      <c r="N148" s="32"/>
      <c r="O148" s="34">
        <f t="shared" si="42"/>
        <v>0</v>
      </c>
      <c r="P148" s="44"/>
      <c r="Q148" s="44"/>
      <c r="R148" s="37">
        <f t="shared" si="43"/>
        <v>0</v>
      </c>
      <c r="S148" s="38">
        <f t="shared" si="44"/>
        <v>0</v>
      </c>
      <c r="T148" s="51"/>
      <c r="U148" s="42">
        <f>IFERROR(__xludf.DUMMYFUNCTION("""COMPUTED_VALUE"""),0.0)</f>
        <v>0</v>
      </c>
    </row>
    <row r="149" ht="37.5" customHeight="1">
      <c r="B149" s="25">
        <v>16.0</v>
      </c>
      <c r="C149" s="49"/>
      <c r="D149" s="50"/>
      <c r="E149" s="51"/>
      <c r="F149" s="52">
        <f>IFERROR(__xludf.DUMMYFUNCTION("""COMPUTED_VALUE"""),0.0)</f>
        <v>0</v>
      </c>
      <c r="G149" s="45"/>
      <c r="H149" s="31">
        <f t="shared" si="38"/>
        <v>0</v>
      </c>
      <c r="I149" s="31">
        <f t="shared" si="39"/>
        <v>0</v>
      </c>
      <c r="J149" s="32" t="str">
        <f t="shared" si="40"/>
        <v/>
      </c>
      <c r="K149" s="32"/>
      <c r="L149" s="33">
        <f t="shared" si="41"/>
        <v>0</v>
      </c>
      <c r="M149" s="32"/>
      <c r="N149" s="32"/>
      <c r="O149" s="34">
        <f t="shared" si="42"/>
        <v>0</v>
      </c>
      <c r="P149" s="44"/>
      <c r="Q149" s="44"/>
      <c r="R149" s="37">
        <f t="shared" si="43"/>
        <v>0</v>
      </c>
      <c r="S149" s="38">
        <f t="shared" si="44"/>
        <v>0</v>
      </c>
      <c r="T149" s="39"/>
      <c r="U149" s="42">
        <f>IFERROR(__xludf.DUMMYFUNCTION("""COMPUTED_VALUE"""),0.0)</f>
        <v>0</v>
      </c>
    </row>
    <row r="150" ht="37.5" customHeight="1">
      <c r="B150" s="25">
        <v>17.0</v>
      </c>
      <c r="C150" s="49"/>
      <c r="D150" s="50"/>
      <c r="E150" s="51"/>
      <c r="F150" s="52">
        <f>IFERROR(__xludf.DUMMYFUNCTION("""COMPUTED_VALUE"""),0.0)</f>
        <v>0</v>
      </c>
      <c r="G150" s="45"/>
      <c r="H150" s="31">
        <f t="shared" si="38"/>
        <v>0</v>
      </c>
      <c r="I150" s="31">
        <f t="shared" si="39"/>
        <v>0</v>
      </c>
      <c r="J150" s="32" t="str">
        <f t="shared" si="40"/>
        <v/>
      </c>
      <c r="K150" s="32"/>
      <c r="L150" s="33">
        <f t="shared" si="41"/>
        <v>0</v>
      </c>
      <c r="M150" s="32"/>
      <c r="N150" s="32"/>
      <c r="O150" s="34">
        <f t="shared" si="42"/>
        <v>0</v>
      </c>
      <c r="P150" s="44"/>
      <c r="Q150" s="44"/>
      <c r="R150" s="37">
        <f t="shared" si="43"/>
        <v>0</v>
      </c>
      <c r="S150" s="38">
        <f t="shared" si="44"/>
        <v>0</v>
      </c>
      <c r="T150" s="39"/>
      <c r="U150" s="42">
        <f>IFERROR(__xludf.DUMMYFUNCTION("""COMPUTED_VALUE"""),0.0)</f>
        <v>0</v>
      </c>
    </row>
    <row r="151" ht="37.5" customHeight="1">
      <c r="B151" s="25">
        <v>18.0</v>
      </c>
      <c r="C151" s="49"/>
      <c r="D151" s="51"/>
      <c r="E151" s="51"/>
      <c r="F151" s="42">
        <f>IFERROR(__xludf.DUMMYFUNCTION("""COMPUTED_VALUE"""),0.0)</f>
        <v>0</v>
      </c>
      <c r="G151" s="53"/>
      <c r="H151" s="31">
        <f t="shared" si="38"/>
        <v>0</v>
      </c>
      <c r="I151" s="31">
        <f t="shared" si="39"/>
        <v>0</v>
      </c>
      <c r="J151" s="32" t="str">
        <f t="shared" si="40"/>
        <v/>
      </c>
      <c r="K151" s="32"/>
      <c r="L151" s="33">
        <f t="shared" si="41"/>
        <v>0</v>
      </c>
      <c r="M151" s="32"/>
      <c r="N151" s="32"/>
      <c r="O151" s="34">
        <f t="shared" si="42"/>
        <v>0</v>
      </c>
      <c r="P151" s="44"/>
      <c r="Q151" s="44"/>
      <c r="R151" s="37">
        <f t="shared" si="43"/>
        <v>0</v>
      </c>
      <c r="S151" s="38">
        <f t="shared" si="44"/>
        <v>0</v>
      </c>
      <c r="T151" s="51"/>
      <c r="U151" s="42">
        <f>IFERROR(__xludf.DUMMYFUNCTION("""COMPUTED_VALUE"""),0.0)</f>
        <v>0</v>
      </c>
    </row>
    <row r="152" ht="37.5" customHeight="1">
      <c r="B152" s="25">
        <v>19.0</v>
      </c>
      <c r="C152" s="49"/>
      <c r="D152" s="51"/>
      <c r="E152" s="51"/>
      <c r="F152" s="42">
        <f>IFERROR(__xludf.DUMMYFUNCTION("""COMPUTED_VALUE"""),0.0)</f>
        <v>0</v>
      </c>
      <c r="G152" s="53"/>
      <c r="H152" s="31">
        <f t="shared" si="38"/>
        <v>0</v>
      </c>
      <c r="I152" s="31">
        <f t="shared" si="39"/>
        <v>0</v>
      </c>
      <c r="J152" s="32" t="str">
        <f t="shared" si="40"/>
        <v/>
      </c>
      <c r="K152" s="32"/>
      <c r="L152" s="33">
        <f t="shared" si="41"/>
        <v>0</v>
      </c>
      <c r="M152" s="32"/>
      <c r="N152" s="32"/>
      <c r="O152" s="34">
        <f t="shared" si="42"/>
        <v>0</v>
      </c>
      <c r="P152" s="44"/>
      <c r="Q152" s="44"/>
      <c r="R152" s="37">
        <f t="shared" si="43"/>
        <v>0</v>
      </c>
      <c r="S152" s="38">
        <f t="shared" si="44"/>
        <v>0</v>
      </c>
      <c r="T152" s="51"/>
      <c r="U152" s="42">
        <f>IFERROR(__xludf.DUMMYFUNCTION("""COMPUTED_VALUE"""),0.0)</f>
        <v>0</v>
      </c>
    </row>
    <row r="153" ht="37.5" customHeight="1">
      <c r="B153" s="25">
        <v>20.0</v>
      </c>
      <c r="C153" s="49"/>
      <c r="D153" s="51"/>
      <c r="E153" s="51"/>
      <c r="F153" s="42"/>
      <c r="G153" s="53"/>
      <c r="H153" s="31">
        <f t="shared" si="38"/>
        <v>0</v>
      </c>
      <c r="I153" s="31">
        <f t="shared" si="39"/>
        <v>0</v>
      </c>
      <c r="J153" s="32" t="str">
        <f t="shared" si="40"/>
        <v/>
      </c>
      <c r="K153" s="32"/>
      <c r="L153" s="33">
        <f t="shared" si="41"/>
        <v>0</v>
      </c>
      <c r="M153" s="32"/>
      <c r="N153" s="32"/>
      <c r="O153" s="34">
        <f t="shared" si="42"/>
        <v>0</v>
      </c>
      <c r="P153" s="44"/>
      <c r="Q153" s="44"/>
      <c r="R153" s="37">
        <f t="shared" si="43"/>
        <v>0</v>
      </c>
      <c r="S153" s="38">
        <f t="shared" si="44"/>
        <v>0</v>
      </c>
      <c r="T153" s="51"/>
      <c r="U153" s="42">
        <f>IFERROR(__xludf.DUMMYFUNCTION("""COMPUTED_VALUE"""),0.0)</f>
        <v>0</v>
      </c>
    </row>
    <row r="154" ht="37.5" customHeight="1">
      <c r="B154" s="25">
        <v>21.0</v>
      </c>
      <c r="C154" s="49"/>
      <c r="D154" s="51"/>
      <c r="E154" s="51"/>
      <c r="F154" s="42"/>
      <c r="G154" s="53"/>
      <c r="H154" s="31">
        <f t="shared" si="38"/>
        <v>0</v>
      </c>
      <c r="I154" s="31">
        <f t="shared" si="39"/>
        <v>0</v>
      </c>
      <c r="J154" s="32" t="str">
        <f t="shared" si="40"/>
        <v/>
      </c>
      <c r="K154" s="32"/>
      <c r="L154" s="33">
        <f t="shared" si="41"/>
        <v>0</v>
      </c>
      <c r="M154" s="32"/>
      <c r="N154" s="32"/>
      <c r="O154" s="34">
        <f t="shared" si="42"/>
        <v>0</v>
      </c>
      <c r="P154" s="44"/>
      <c r="Q154" s="44"/>
      <c r="R154" s="37">
        <f t="shared" si="43"/>
        <v>0</v>
      </c>
      <c r="S154" s="38">
        <f t="shared" si="44"/>
        <v>0</v>
      </c>
      <c r="T154" s="51"/>
      <c r="U154" s="42"/>
    </row>
    <row r="155" ht="37.5" customHeight="1">
      <c r="B155" s="25">
        <v>22.0</v>
      </c>
      <c r="C155" s="144"/>
      <c r="D155" s="42"/>
      <c r="E155" s="42"/>
      <c r="F155" s="42"/>
      <c r="G155" s="53"/>
      <c r="H155" s="31">
        <f t="shared" si="38"/>
        <v>0</v>
      </c>
      <c r="I155" s="31">
        <f t="shared" si="39"/>
        <v>0</v>
      </c>
      <c r="J155" s="32" t="str">
        <f t="shared" si="40"/>
        <v/>
      </c>
      <c r="K155" s="32"/>
      <c r="L155" s="33">
        <f t="shared" si="41"/>
        <v>0</v>
      </c>
      <c r="M155" s="32"/>
      <c r="N155" s="32"/>
      <c r="O155" s="34">
        <f t="shared" si="42"/>
        <v>0</v>
      </c>
      <c r="P155" s="44"/>
      <c r="Q155" s="44"/>
      <c r="R155" s="37">
        <f t="shared" si="43"/>
        <v>0</v>
      </c>
      <c r="S155" s="38">
        <f t="shared" si="44"/>
        <v>0</v>
      </c>
      <c r="T155" s="51"/>
      <c r="U155" s="42"/>
    </row>
    <row r="156">
      <c r="B156" s="54"/>
      <c r="F156" s="55" t="s">
        <v>21</v>
      </c>
      <c r="S156" s="56">
        <f>SUM(S134:S155)</f>
        <v>0</v>
      </c>
      <c r="T156" s="57"/>
      <c r="U156" s="58"/>
    </row>
    <row r="157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</row>
    <row r="158">
      <c r="B158" s="67" t="s">
        <v>21</v>
      </c>
      <c r="F158" s="68">
        <f>S31+S56+S81+S106+S131+S156</f>
        <v>0</v>
      </c>
      <c r="T158" s="69"/>
    </row>
  </sheetData>
  <mergeCells count="28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B156:E156"/>
    <mergeCell ref="F156:R156"/>
    <mergeCell ref="B158:E158"/>
    <mergeCell ref="F158:S158"/>
    <mergeCell ref="T158:U158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IFERROR(__xludf.DUMMYFUNCTION("IMPORTRANGE(""https://docs.google.com/spreadsheets/d/17TnzcKnlaqlAyM_3lnNpgK5CAOPbscCCRVH50X8UulY/edit?usp=sharing"",""SEPTEMBER!B2"")"),46266.0)</f>
        <v>46266</v>
      </c>
      <c r="C2" s="2"/>
      <c r="D2" s="2"/>
      <c r="E2" s="3"/>
      <c r="F2" s="126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29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129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IFERROR(__xludf.DUMMYFUNCTION("IMPORTRANGE(""https://docs.google.com/spreadsheets/d/17TnzcKnlaqlAyM_3lnNpgK5CAOPbscCCRVH50X8UulY/edit?usp=sharing"",""SEPTEMBER!B6"")"),"TANGGAL : 1-5 SEPTEMBER 2026")</f>
        <v>TANGGAL : 1-5 SEPTEMBER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IFERROR(__xludf.DUMMYFUNCTION("IMPORTRANGE(""https://docs.google.com/spreadsheets/d/17TnzcKnlaqlAyM_3lnNpgK5CAOPbscCCRVH50X8UulY/edit?usp=sharing"",""SEPTEMBER!B7:D25"")"),"EPUL")</f>
        <v>EPUL</v>
      </c>
      <c r="D9" s="27" t="str">
        <f>IFERROR(__xludf.DUMMYFUNCTION("""COMPUTED_VALUE"""),"KEPALA")</f>
        <v>KEPALA</v>
      </c>
      <c r="E9" s="28"/>
      <c r="F9" s="52">
        <f>IFERROR(__xludf.DUMMYFUNCTION("IMPORTRANGE(""https://docs.google.com/spreadsheets/d/17TnzcKnlaqlAyM_3lnNpgK5CAOPbscCCRVH50X8UulY/edit?usp=sharing"",""SEPTEMBER!K7:K25"")"),0.0)</f>
        <v>0</v>
      </c>
      <c r="G9" s="30">
        <v>110000.0</v>
      </c>
      <c r="H9" s="31">
        <f t="shared" ref="H9:H30" si="1">F9*G9</f>
        <v>0</v>
      </c>
      <c r="I9" s="31">
        <f t="shared" ref="I9:I30" si="2">F9*10000</f>
        <v>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0</v>
      </c>
      <c r="P9" s="36"/>
      <c r="Q9" s="36"/>
      <c r="R9" s="37">
        <f t="shared" ref="R9:R30" si="6">SUM(P9:Q9)</f>
        <v>0</v>
      </c>
      <c r="S9" s="38">
        <f t="shared" ref="S9:S30" si="7">O9-R9</f>
        <v>0</v>
      </c>
      <c r="T9" s="52" t="str">
        <f>IFERROR(__xludf.DUMMYFUNCTION("IMPORTRANGE(""https://docs.google.com/spreadsheets/d/17TnzcKnlaqlAyM_3lnNpgK5CAOPbscCCRVH50X8UulY/edit?usp=sharing"",""SEPTEMBER!L7:L26"")"),"")</f>
        <v/>
      </c>
      <c r="U9" s="42">
        <f>IFERROR(__xludf.DUMMYFUNCTION("IMPORTRANGE(""https://docs.google.com/spreadsheets/d/17TnzcKnlaqlAyM_3lnNpgK5CAOPbscCCRVH50X8UulY/edit?usp=sharing"",""SEPTEMBER!U7:U26"")"),0.0)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/>
      <c r="F10" s="52">
        <f>IFERROR(__xludf.DUMMYFUNCTION("""COMPUTED_VALUE"""),0.0)</f>
        <v>0</v>
      </c>
      <c r="G10" s="30">
        <v>70000.0</v>
      </c>
      <c r="H10" s="31">
        <f t="shared" si="1"/>
        <v>0</v>
      </c>
      <c r="I10" s="31">
        <f t="shared" si="2"/>
        <v>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0</v>
      </c>
      <c r="P10" s="35"/>
      <c r="Q10" s="35"/>
      <c r="R10" s="37">
        <f t="shared" si="6"/>
        <v>0</v>
      </c>
      <c r="S10" s="38">
        <f t="shared" si="7"/>
        <v>0</v>
      </c>
      <c r="T10" s="52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/>
      <c r="D11" s="27" t="str">
        <f>IFERROR(__xludf.DUMMYFUNCTION("""COMPUTED_VALUE"""),"ADMIN")</f>
        <v>ADMIN</v>
      </c>
      <c r="E11" s="28"/>
      <c r="F11" s="52">
        <f>IFERROR(__xludf.DUMMYFUNCTION("""COMPUTED_VALUE"""),0.0)</f>
        <v>0</v>
      </c>
      <c r="G11" s="30">
        <v>70000.0</v>
      </c>
      <c r="H11" s="31">
        <f t="shared" si="1"/>
        <v>0</v>
      </c>
      <c r="I11" s="31">
        <f t="shared" si="2"/>
        <v>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0</v>
      </c>
      <c r="P11" s="36"/>
      <c r="Q11" s="36"/>
      <c r="R11" s="37">
        <f t="shared" si="6"/>
        <v>0</v>
      </c>
      <c r="S11" s="38">
        <f t="shared" si="7"/>
        <v>0</v>
      </c>
      <c r="T11" s="52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IFERROR(__xludf.DUMMYFUNCTION("""COMPUTED_VALUE"""),"ANDRI")</f>
        <v>ANDRI</v>
      </c>
      <c r="D12" s="27" t="str">
        <f>IFERROR(__xludf.DUMMYFUNCTION("""COMPUTED_VALUE"""),"DESIGN BORDIR")</f>
        <v>DESIGN BORDIR</v>
      </c>
      <c r="E12" s="28"/>
      <c r="F12" s="52">
        <f>IFERROR(__xludf.DUMMYFUNCTION("""COMPUTED_VALUE"""),0.0)</f>
        <v>0</v>
      </c>
      <c r="G12" s="30">
        <v>70000.0</v>
      </c>
      <c r="H12" s="31">
        <f t="shared" si="1"/>
        <v>0</v>
      </c>
      <c r="I12" s="31">
        <f t="shared" si="2"/>
        <v>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0</v>
      </c>
      <c r="P12" s="36"/>
      <c r="Q12" s="36"/>
      <c r="R12" s="37">
        <f t="shared" si="6"/>
        <v>0</v>
      </c>
      <c r="S12" s="38">
        <f t="shared" si="7"/>
        <v>0</v>
      </c>
      <c r="T12" s="52"/>
      <c r="U12" s="42">
        <f>IFERROR(__xludf.DUMMYFUNCTION("""COMPUTED_VALUE"""),0.0)</f>
        <v>0</v>
      </c>
      <c r="V12" s="134"/>
      <c r="W12" s="24"/>
    </row>
    <row r="13" ht="37.5" customHeight="1">
      <c r="A13" s="24"/>
      <c r="B13" s="25">
        <v>5.0</v>
      </c>
      <c r="C13" s="26" t="str">
        <f>IFERROR(__xludf.DUMMYFUNCTION("""COMPUTED_VALUE"""),"ADIT")</f>
        <v>ADIT</v>
      </c>
      <c r="D13" s="27" t="str">
        <f>IFERROR(__xludf.DUMMYFUNCTION("""COMPUTED_VALUE"""),"CREATOR")</f>
        <v>CREATOR</v>
      </c>
      <c r="E13" s="28"/>
      <c r="F13" s="52">
        <f>IFERROR(__xludf.DUMMYFUNCTION("""COMPUTED_VALUE"""),0.0)</f>
        <v>0</v>
      </c>
      <c r="G13" s="30">
        <v>50000.0</v>
      </c>
      <c r="H13" s="31">
        <f t="shared" si="1"/>
        <v>0</v>
      </c>
      <c r="I13" s="31">
        <f t="shared" si="2"/>
        <v>0</v>
      </c>
      <c r="J13" s="32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0</v>
      </c>
      <c r="P13" s="36"/>
      <c r="Q13" s="35"/>
      <c r="R13" s="37">
        <f t="shared" si="6"/>
        <v>0</v>
      </c>
      <c r="S13" s="38">
        <f t="shared" si="7"/>
        <v>0</v>
      </c>
      <c r="T13" s="52"/>
      <c r="U13" s="42">
        <f>IFERROR(__xludf.DUMMYFUNCTION("""COMPUTED_VALUE"""),0.0)</f>
        <v>0</v>
      </c>
      <c r="V13" s="134"/>
      <c r="W13" s="24"/>
    </row>
    <row r="14" ht="37.5" customHeight="1">
      <c r="A14" s="24"/>
      <c r="B14" s="25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/>
      <c r="F14" s="52">
        <f>IFERROR(__xludf.DUMMYFUNCTION("""COMPUTED_VALUE"""),0.0)</f>
        <v>0</v>
      </c>
      <c r="G14" s="30">
        <v>70000.0</v>
      </c>
      <c r="H14" s="31">
        <f t="shared" si="1"/>
        <v>0</v>
      </c>
      <c r="I14" s="31">
        <f t="shared" si="2"/>
        <v>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0</v>
      </c>
      <c r="P14" s="36"/>
      <c r="Q14" s="36"/>
      <c r="R14" s="37">
        <f t="shared" si="6"/>
        <v>0</v>
      </c>
      <c r="S14" s="38">
        <f t="shared" si="7"/>
        <v>0</v>
      </c>
      <c r="T14" s="52"/>
      <c r="U14" s="42">
        <f>IFERROR(__xludf.DUMMYFUNCTION("""COMPUTED_VALUE"""),0.0)</f>
        <v>0</v>
      </c>
      <c r="V14" s="135"/>
      <c r="W14" s="24"/>
    </row>
    <row r="15" ht="37.5" customHeight="1">
      <c r="A15" s="24"/>
      <c r="B15" s="25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/>
      <c r="F15" s="52">
        <f>IFERROR(__xludf.DUMMYFUNCTION("""COMPUTED_VALUE"""),0.0)</f>
        <v>0</v>
      </c>
      <c r="G15" s="30">
        <v>70000.0</v>
      </c>
      <c r="H15" s="31">
        <f t="shared" si="1"/>
        <v>0</v>
      </c>
      <c r="I15" s="31">
        <f t="shared" si="2"/>
        <v>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0</v>
      </c>
      <c r="P15" s="35"/>
      <c r="Q15" s="36"/>
      <c r="R15" s="37">
        <f t="shared" si="6"/>
        <v>0</v>
      </c>
      <c r="S15" s="38">
        <f t="shared" si="7"/>
        <v>0</v>
      </c>
      <c r="T15" s="52"/>
      <c r="U15" s="42">
        <f>IFERROR(__xludf.DUMMYFUNCTION("""COMPUTED_VALUE"""),0.0)</f>
        <v>0</v>
      </c>
      <c r="V15" s="135"/>
      <c r="W15" s="24"/>
    </row>
    <row r="16" ht="37.5" customHeight="1">
      <c r="A16" s="24"/>
      <c r="B16" s="25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/>
      <c r="F16" s="52">
        <f>IFERROR(__xludf.DUMMYFUNCTION("""COMPUTED_VALUE"""),0.0)</f>
        <v>0</v>
      </c>
      <c r="G16" s="30">
        <v>50000.0</v>
      </c>
      <c r="H16" s="31">
        <f t="shared" si="1"/>
        <v>0</v>
      </c>
      <c r="I16" s="31">
        <f t="shared" si="2"/>
        <v>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0</v>
      </c>
      <c r="P16" s="36"/>
      <c r="Q16" s="36"/>
      <c r="R16" s="37">
        <f t="shared" si="6"/>
        <v>0</v>
      </c>
      <c r="S16" s="38">
        <f t="shared" si="7"/>
        <v>0</v>
      </c>
      <c r="T16" s="52"/>
      <c r="U16" s="42">
        <f>IFERROR(__xludf.DUMMYFUNCTION("""COMPUTED_VALUE"""),0.0)</f>
        <v>0</v>
      </c>
      <c r="V16" s="134"/>
      <c r="W16" s="24"/>
    </row>
    <row r="17" ht="37.5" customHeight="1">
      <c r="A17" s="24"/>
      <c r="B17" s="25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28"/>
      <c r="F17" s="52">
        <f>IFERROR(__xludf.DUMMYFUNCTION("""COMPUTED_VALUE"""),0.0)</f>
        <v>0</v>
      </c>
      <c r="G17" s="30">
        <v>50000.0</v>
      </c>
      <c r="H17" s="31">
        <f t="shared" si="1"/>
        <v>0</v>
      </c>
      <c r="I17" s="31">
        <f t="shared" si="2"/>
        <v>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0</v>
      </c>
      <c r="P17" s="36"/>
      <c r="Q17" s="36"/>
      <c r="R17" s="37">
        <f t="shared" si="6"/>
        <v>0</v>
      </c>
      <c r="S17" s="38">
        <f t="shared" si="7"/>
        <v>0</v>
      </c>
      <c r="T17" s="52"/>
      <c r="U17" s="42">
        <f>IFERROR(__xludf.DUMMYFUNCTION("""COMPUTED_VALUE"""),0.0)</f>
        <v>0</v>
      </c>
      <c r="V17" s="134"/>
      <c r="W17" s="24"/>
    </row>
    <row r="18" ht="37.5" customHeight="1">
      <c r="A18" s="24"/>
      <c r="B18" s="25">
        <v>10.0</v>
      </c>
      <c r="C18" s="49" t="str">
        <f>IFERROR(__xludf.DUMMYFUNCTION("""COMPUTED_VALUE"""),"IIS")</f>
        <v>IIS</v>
      </c>
      <c r="D18" s="27" t="str">
        <f>IFERROR(__xludf.DUMMYFUNCTION("""COMPUTED_VALUE"""),"PACKING")</f>
        <v>PACKING</v>
      </c>
      <c r="E18" s="51"/>
      <c r="F18" s="52">
        <f>IFERROR(__xludf.DUMMYFUNCTION("""COMPUTED_VALUE"""),0.0)</f>
        <v>0</v>
      </c>
      <c r="G18" s="45"/>
      <c r="H18" s="31">
        <f t="shared" si="1"/>
        <v>0</v>
      </c>
      <c r="I18" s="31">
        <f t="shared" si="2"/>
        <v>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0</v>
      </c>
      <c r="P18" s="36"/>
      <c r="Q18" s="36"/>
      <c r="R18" s="37">
        <f t="shared" si="6"/>
        <v>0</v>
      </c>
      <c r="S18" s="38">
        <f t="shared" si="7"/>
        <v>0</v>
      </c>
      <c r="T18" s="39"/>
      <c r="U18" s="42">
        <f>IFERROR(__xludf.DUMMYFUNCTION("""COMPUTED_VALUE"""),0.0)</f>
        <v>0</v>
      </c>
      <c r="V18" s="13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44"/>
      <c r="Q19" s="44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134"/>
      <c r="W19" s="24"/>
    </row>
    <row r="20" ht="37.5" customHeight="1">
      <c r="A20" s="24"/>
      <c r="B20" s="25">
        <v>12.0</v>
      </c>
      <c r="C20" s="49"/>
      <c r="D20" s="50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44"/>
      <c r="Q20" s="44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13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 t="str">
        <f t="shared" ref="J21:J22" si="8">IF(E21="SHIFT 2",I21,"")</f>
        <v/>
      </c>
      <c r="K21" s="32"/>
      <c r="L21" s="33">
        <f t="shared" si="4"/>
        <v>0</v>
      </c>
      <c r="M21" s="32"/>
      <c r="N21" s="32"/>
      <c r="O21" s="34">
        <f t="shared" si="5"/>
        <v>0</v>
      </c>
      <c r="P21" s="36"/>
      <c r="Q21" s="36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13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 t="shared" si="8"/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44"/>
      <c r="Q22" s="44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13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13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136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9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136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9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136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9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9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9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144"/>
      <c r="D30" s="42"/>
      <c r="E30" s="42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9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B31" s="54"/>
      <c r="F31" s="55" t="s">
        <v>21</v>
      </c>
      <c r="S31" s="56">
        <f>SUM(S9:S30)</f>
        <v>0</v>
      </c>
      <c r="T31" s="57"/>
      <c r="U31" s="58"/>
    </row>
    <row r="32" ht="37.5" customHeight="1"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ht="37.5" customHeight="1">
      <c r="A33" s="24"/>
      <c r="B33" s="21" t="str">
        <f>IFERROR(__xludf.DUMMYFUNCTION("IMPORTRANGE(""https://docs.google.com/spreadsheets/d/17TnzcKnlaqlAyM_3lnNpgK5CAOPbscCCRVH50X8UulY/edit?usp=sharing"",""SEPTEMBER!B28"")"),"TANGGAL : 7-12 SEPTEMBER 2026")</f>
        <v>TANGGAL : 7-12 SEPTEMBER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IFERROR(__xludf.DUMMYFUNCTION("IMPORTRANGE(""https://docs.google.com/spreadsheets/d/17TnzcKnlaqlAyM_3lnNpgK5CAOPbscCCRVH50X8UulY/edit?usp=sharing"",""SEPTEMBER!B29:D47"")"),"EPUL")</f>
        <v>EPUL</v>
      </c>
      <c r="D34" s="27" t="str">
        <f>IFERROR(__xludf.DUMMYFUNCTION("""COMPUTED_VALUE"""),"KEPALA")</f>
        <v>KEPALA</v>
      </c>
      <c r="E34" s="28"/>
      <c r="F34" s="52">
        <f>IFERROR(__xludf.DUMMYFUNCTION("IMPORTRANGE(""https://docs.google.com/spreadsheets/d/17TnzcKnlaqlAyM_3lnNpgK5CAOPbscCCRVH50X8UulY/edit?usp=sharing"",""SEPTEMBER!K29:K47"")"),0.0)</f>
        <v>0</v>
      </c>
      <c r="G34" s="30">
        <v>110000.0</v>
      </c>
      <c r="H34" s="31">
        <f t="shared" ref="H34:H55" si="10">F34*G34</f>
        <v>0</v>
      </c>
      <c r="I34" s="31">
        <f t="shared" ref="I34:I55" si="11">F34*10000</f>
        <v>0</v>
      </c>
      <c r="J34" s="32" t="str">
        <f t="shared" ref="J34:J55" si="12">IF(E34="SHIFT 2",I34,"")</f>
        <v/>
      </c>
      <c r="K34" s="32"/>
      <c r="L34" s="33">
        <f t="shared" ref="L34:L55" si="13">U34*$L$33</f>
        <v>0</v>
      </c>
      <c r="M34" s="32"/>
      <c r="N34" s="32"/>
      <c r="O34" s="34">
        <f t="shared" ref="O34:O55" si="14">SUM(H34:N34)</f>
        <v>0</v>
      </c>
      <c r="P34" s="36"/>
      <c r="Q34" s="44"/>
      <c r="R34" s="37">
        <f t="shared" ref="R34:R55" si="15">SUM(P34:Q34)</f>
        <v>0</v>
      </c>
      <c r="S34" s="38">
        <f t="shared" ref="S34:S55" si="16">O34-R34</f>
        <v>0</v>
      </c>
      <c r="T34" s="52" t="str">
        <f>IFERROR(__xludf.DUMMYFUNCTION("IMPORTRANGE(""https://docs.google.com/spreadsheets/d/17TnzcKnlaqlAyM_3lnNpgK5CAOPbscCCRVH50X8UulY/edit?usp=sharing"",""SEPTEMBER!L29:L47"")"),"")</f>
        <v/>
      </c>
      <c r="U34" s="42">
        <f>IFERROR(__xludf.DUMMYFUNCTION("IMPORTRANGE(""https://docs.google.com/spreadsheets/d/17TnzcKnlaqlAyM_3lnNpgK5CAOPbscCCRVH50X8UulY/edit?usp=sharing"",""SEPTEMBER!U29:U47"")"),0.0)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/>
      <c r="F35" s="52">
        <f>IFERROR(__xludf.DUMMYFUNCTION("""COMPUTED_VALUE"""),0.0)</f>
        <v>0</v>
      </c>
      <c r="G35" s="30">
        <v>70000.0</v>
      </c>
      <c r="H35" s="31">
        <f t="shared" si="10"/>
        <v>0</v>
      </c>
      <c r="I35" s="31">
        <f t="shared" si="11"/>
        <v>0</v>
      </c>
      <c r="J35" s="32" t="str">
        <f t="shared" si="12"/>
        <v/>
      </c>
      <c r="K35" s="41"/>
      <c r="L35" s="33">
        <f t="shared" si="13"/>
        <v>0</v>
      </c>
      <c r="M35" s="41"/>
      <c r="N35" s="41"/>
      <c r="O35" s="34">
        <f t="shared" si="14"/>
        <v>0</v>
      </c>
      <c r="P35" s="35"/>
      <c r="Q35" s="44"/>
      <c r="R35" s="37">
        <f t="shared" si="15"/>
        <v>0</v>
      </c>
      <c r="S35" s="38">
        <f t="shared" si="16"/>
        <v>0</v>
      </c>
      <c r="T35" s="52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/>
      <c r="D36" s="27" t="str">
        <f>IFERROR(__xludf.DUMMYFUNCTION("""COMPUTED_VALUE"""),"ADMIN")</f>
        <v>ADMIN</v>
      </c>
      <c r="E36" s="28"/>
      <c r="F36" s="52">
        <f>IFERROR(__xludf.DUMMYFUNCTION("""COMPUTED_VALUE"""),0.0)</f>
        <v>0</v>
      </c>
      <c r="G36" s="30">
        <v>70000.0</v>
      </c>
      <c r="H36" s="31">
        <f t="shared" si="10"/>
        <v>0</v>
      </c>
      <c r="I36" s="31">
        <f t="shared" si="11"/>
        <v>0</v>
      </c>
      <c r="J36" s="32" t="str">
        <f t="shared" si="12"/>
        <v/>
      </c>
      <c r="K36" s="41"/>
      <c r="L36" s="33">
        <f t="shared" si="13"/>
        <v>0</v>
      </c>
      <c r="M36" s="41"/>
      <c r="N36" s="41"/>
      <c r="O36" s="34">
        <f t="shared" si="14"/>
        <v>0</v>
      </c>
      <c r="P36" s="36"/>
      <c r="Q36" s="44"/>
      <c r="R36" s="37">
        <f t="shared" si="15"/>
        <v>0</v>
      </c>
      <c r="S36" s="38">
        <f t="shared" si="16"/>
        <v>0</v>
      </c>
      <c r="T36" s="52"/>
      <c r="U36" s="42">
        <f>IFERROR(__xludf.DUMMYFUNCTION("""COMPUTED_VALUE"""),0.0)</f>
        <v>0</v>
      </c>
      <c r="V36" s="24"/>
      <c r="W36" s="24"/>
    </row>
    <row r="37" ht="37.5" customHeight="1">
      <c r="A37" s="24"/>
      <c r="B37" s="25">
        <v>4.0</v>
      </c>
      <c r="C37" s="26" t="str">
        <f>IFERROR(__xludf.DUMMYFUNCTION("""COMPUTED_VALUE"""),"ANDRI")</f>
        <v>ANDRI</v>
      </c>
      <c r="D37" s="27" t="str">
        <f>IFERROR(__xludf.DUMMYFUNCTION("""COMPUTED_VALUE"""),"DESIGN BORDIR")</f>
        <v>DESIGN BORDIR</v>
      </c>
      <c r="E37" s="28"/>
      <c r="F37" s="52">
        <f>IFERROR(__xludf.DUMMYFUNCTION("""COMPUTED_VALUE"""),0.0)</f>
        <v>0</v>
      </c>
      <c r="G37" s="30">
        <v>70000.0</v>
      </c>
      <c r="H37" s="31">
        <f t="shared" si="10"/>
        <v>0</v>
      </c>
      <c r="I37" s="31">
        <f t="shared" si="11"/>
        <v>0</v>
      </c>
      <c r="J37" s="32" t="str">
        <f t="shared" si="12"/>
        <v/>
      </c>
      <c r="K37" s="32"/>
      <c r="L37" s="33">
        <f t="shared" si="13"/>
        <v>0</v>
      </c>
      <c r="M37" s="32"/>
      <c r="N37" s="32"/>
      <c r="O37" s="34">
        <f t="shared" si="14"/>
        <v>0</v>
      </c>
      <c r="P37" s="36"/>
      <c r="Q37" s="44"/>
      <c r="R37" s="37">
        <f t="shared" si="15"/>
        <v>0</v>
      </c>
      <c r="S37" s="38">
        <f t="shared" si="16"/>
        <v>0</v>
      </c>
      <c r="T37" s="52"/>
      <c r="U37" s="42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6" t="str">
        <f>IFERROR(__xludf.DUMMYFUNCTION("""COMPUTED_VALUE"""),"ADIT")</f>
        <v>ADIT</v>
      </c>
      <c r="D38" s="27" t="str">
        <f>IFERROR(__xludf.DUMMYFUNCTION("""COMPUTED_VALUE"""),"CREATOR")</f>
        <v>CREATOR</v>
      </c>
      <c r="E38" s="28"/>
      <c r="F38" s="52">
        <f>IFERROR(__xludf.DUMMYFUNCTION("""COMPUTED_VALUE"""),0.0)</f>
        <v>0</v>
      </c>
      <c r="G38" s="30">
        <v>50000.0</v>
      </c>
      <c r="H38" s="31">
        <f t="shared" si="10"/>
        <v>0</v>
      </c>
      <c r="I38" s="31">
        <f t="shared" si="11"/>
        <v>0</v>
      </c>
      <c r="J38" s="32" t="str">
        <f t="shared" si="12"/>
        <v/>
      </c>
      <c r="K38" s="32"/>
      <c r="L38" s="33">
        <f t="shared" si="13"/>
        <v>0</v>
      </c>
      <c r="M38" s="32"/>
      <c r="N38" s="32"/>
      <c r="O38" s="34">
        <f t="shared" si="14"/>
        <v>0</v>
      </c>
      <c r="P38" s="36"/>
      <c r="Q38" s="44"/>
      <c r="R38" s="37">
        <f t="shared" si="15"/>
        <v>0</v>
      </c>
      <c r="S38" s="38">
        <f t="shared" si="16"/>
        <v>0</v>
      </c>
      <c r="T38" s="52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/>
      <c r="F39" s="52">
        <f>IFERROR(__xludf.DUMMYFUNCTION("""COMPUTED_VALUE"""),0.0)</f>
        <v>0</v>
      </c>
      <c r="G39" s="30">
        <v>70000.0</v>
      </c>
      <c r="H39" s="31">
        <f t="shared" si="10"/>
        <v>0</v>
      </c>
      <c r="I39" s="31">
        <f t="shared" si="11"/>
        <v>0</v>
      </c>
      <c r="J39" s="32" t="str">
        <f t="shared" si="12"/>
        <v/>
      </c>
      <c r="K39" s="32"/>
      <c r="L39" s="33">
        <f t="shared" si="13"/>
        <v>0</v>
      </c>
      <c r="M39" s="32"/>
      <c r="N39" s="32"/>
      <c r="O39" s="34">
        <f t="shared" si="14"/>
        <v>0</v>
      </c>
      <c r="P39" s="36"/>
      <c r="Q39" s="44"/>
      <c r="R39" s="37">
        <f t="shared" si="15"/>
        <v>0</v>
      </c>
      <c r="S39" s="38">
        <f t="shared" si="16"/>
        <v>0</v>
      </c>
      <c r="T39" s="52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/>
      <c r="F40" s="52">
        <f>IFERROR(__xludf.DUMMYFUNCTION("""COMPUTED_VALUE"""),0.0)</f>
        <v>0</v>
      </c>
      <c r="G40" s="30">
        <v>70000.0</v>
      </c>
      <c r="H40" s="31">
        <f t="shared" si="10"/>
        <v>0</v>
      </c>
      <c r="I40" s="31">
        <f t="shared" si="11"/>
        <v>0</v>
      </c>
      <c r="J40" s="32" t="str">
        <f t="shared" si="12"/>
        <v/>
      </c>
      <c r="K40" s="32"/>
      <c r="L40" s="33">
        <f t="shared" si="13"/>
        <v>0</v>
      </c>
      <c r="M40" s="32"/>
      <c r="N40" s="32"/>
      <c r="O40" s="34">
        <f t="shared" si="14"/>
        <v>0</v>
      </c>
      <c r="P40" s="36"/>
      <c r="Q40" s="44"/>
      <c r="R40" s="37">
        <f t="shared" si="15"/>
        <v>0</v>
      </c>
      <c r="S40" s="38">
        <f t="shared" si="16"/>
        <v>0</v>
      </c>
      <c r="T40" s="52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/>
      <c r="F41" s="52">
        <f>IFERROR(__xludf.DUMMYFUNCTION("""COMPUTED_VALUE"""),0.0)</f>
        <v>0</v>
      </c>
      <c r="G41" s="30">
        <v>50000.0</v>
      </c>
      <c r="H41" s="31">
        <f t="shared" si="10"/>
        <v>0</v>
      </c>
      <c r="I41" s="31">
        <f t="shared" si="11"/>
        <v>0</v>
      </c>
      <c r="J41" s="32" t="str">
        <f t="shared" si="12"/>
        <v/>
      </c>
      <c r="K41" s="32"/>
      <c r="L41" s="33">
        <f t="shared" si="13"/>
        <v>0</v>
      </c>
      <c r="M41" s="32"/>
      <c r="N41" s="32"/>
      <c r="O41" s="34">
        <f t="shared" si="14"/>
        <v>0</v>
      </c>
      <c r="P41" s="36"/>
      <c r="Q41" s="44"/>
      <c r="R41" s="37">
        <f t="shared" si="15"/>
        <v>0</v>
      </c>
      <c r="S41" s="38">
        <f t="shared" si="16"/>
        <v>0</v>
      </c>
      <c r="T41" s="52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/>
      <c r="F42" s="52">
        <f>IFERROR(__xludf.DUMMYFUNCTION("""COMPUTED_VALUE"""),0.0)</f>
        <v>0</v>
      </c>
      <c r="G42" s="30">
        <v>50000.0</v>
      </c>
      <c r="H42" s="31">
        <f t="shared" si="10"/>
        <v>0</v>
      </c>
      <c r="I42" s="31">
        <f t="shared" si="11"/>
        <v>0</v>
      </c>
      <c r="J42" s="32" t="str">
        <f t="shared" si="12"/>
        <v/>
      </c>
      <c r="K42" s="32"/>
      <c r="L42" s="33">
        <f t="shared" si="13"/>
        <v>0</v>
      </c>
      <c r="M42" s="32"/>
      <c r="N42" s="32"/>
      <c r="O42" s="34">
        <f t="shared" si="14"/>
        <v>0</v>
      </c>
      <c r="P42" s="44"/>
      <c r="Q42" s="44"/>
      <c r="R42" s="37">
        <f t="shared" si="15"/>
        <v>0</v>
      </c>
      <c r="S42" s="38">
        <f t="shared" si="16"/>
        <v>0</v>
      </c>
      <c r="T42" s="65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49" t="str">
        <f>IFERROR(__xludf.DUMMYFUNCTION("""COMPUTED_VALUE"""),"IIS")</f>
        <v>IIS</v>
      </c>
      <c r="D43" s="27" t="str">
        <f>IFERROR(__xludf.DUMMYFUNCTION("""COMPUTED_VALUE"""),"PACKING")</f>
        <v>PACKING</v>
      </c>
      <c r="E43" s="51"/>
      <c r="F43" s="52">
        <f>IFERROR(__xludf.DUMMYFUNCTION("""COMPUTED_VALUE"""),0.0)</f>
        <v>0</v>
      </c>
      <c r="G43" s="45"/>
      <c r="H43" s="31">
        <f t="shared" si="10"/>
        <v>0</v>
      </c>
      <c r="I43" s="31">
        <f t="shared" si="11"/>
        <v>0</v>
      </c>
      <c r="J43" s="32" t="str">
        <f t="shared" si="12"/>
        <v/>
      </c>
      <c r="K43" s="32"/>
      <c r="L43" s="33">
        <f t="shared" si="13"/>
        <v>0</v>
      </c>
      <c r="M43" s="32"/>
      <c r="N43" s="32"/>
      <c r="O43" s="34">
        <f t="shared" si="14"/>
        <v>0</v>
      </c>
      <c r="P43" s="44"/>
      <c r="Q43" s="44"/>
      <c r="R43" s="37">
        <f t="shared" si="15"/>
        <v>0</v>
      </c>
      <c r="S43" s="38">
        <f t="shared" si="16"/>
        <v>0</v>
      </c>
      <c r="T43" s="65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10"/>
        <v>0</v>
      </c>
      <c r="I44" s="31">
        <f t="shared" si="11"/>
        <v>0</v>
      </c>
      <c r="J44" s="32" t="str">
        <f t="shared" si="12"/>
        <v/>
      </c>
      <c r="K44" s="32"/>
      <c r="L44" s="33">
        <f t="shared" si="13"/>
        <v>0</v>
      </c>
      <c r="M44" s="32"/>
      <c r="N44" s="32"/>
      <c r="O44" s="34">
        <f t="shared" si="14"/>
        <v>0</v>
      </c>
      <c r="P44" s="44"/>
      <c r="Q44" s="44"/>
      <c r="R44" s="37">
        <f t="shared" si="15"/>
        <v>0</v>
      </c>
      <c r="S44" s="38">
        <f t="shared" si="16"/>
        <v>0</v>
      </c>
      <c r="T44" s="65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49"/>
      <c r="D45" s="50"/>
      <c r="E45" s="51"/>
      <c r="F45" s="52">
        <f>IFERROR(__xludf.DUMMYFUNCTION("""COMPUTED_VALUE"""),0.0)</f>
        <v>0</v>
      </c>
      <c r="G45" s="45"/>
      <c r="H45" s="31">
        <f t="shared" si="10"/>
        <v>0</v>
      </c>
      <c r="I45" s="31">
        <f t="shared" si="11"/>
        <v>0</v>
      </c>
      <c r="J45" s="32" t="str">
        <f t="shared" si="12"/>
        <v/>
      </c>
      <c r="K45" s="32"/>
      <c r="L45" s="33">
        <f t="shared" si="13"/>
        <v>0</v>
      </c>
      <c r="M45" s="32"/>
      <c r="N45" s="32"/>
      <c r="O45" s="34">
        <f t="shared" si="14"/>
        <v>0</v>
      </c>
      <c r="P45" s="44"/>
      <c r="Q45" s="44"/>
      <c r="R45" s="37">
        <f t="shared" si="15"/>
        <v>0</v>
      </c>
      <c r="S45" s="38">
        <f t="shared" si="16"/>
        <v>0</v>
      </c>
      <c r="T45" s="65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10"/>
        <v>0</v>
      </c>
      <c r="I46" s="31">
        <f t="shared" si="11"/>
        <v>0</v>
      </c>
      <c r="J46" s="32" t="str">
        <f t="shared" si="12"/>
        <v/>
      </c>
      <c r="K46" s="32"/>
      <c r="L46" s="33">
        <f t="shared" si="13"/>
        <v>0</v>
      </c>
      <c r="M46" s="32"/>
      <c r="N46" s="32"/>
      <c r="O46" s="34">
        <f t="shared" si="14"/>
        <v>0</v>
      </c>
      <c r="P46" s="44"/>
      <c r="Q46" s="44"/>
      <c r="R46" s="37">
        <f t="shared" si="15"/>
        <v>0</v>
      </c>
      <c r="S46" s="38">
        <f t="shared" si="16"/>
        <v>0</v>
      </c>
      <c r="T46" s="65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10"/>
        <v>0</v>
      </c>
      <c r="I47" s="31">
        <f t="shared" si="11"/>
        <v>0</v>
      </c>
      <c r="J47" s="32" t="str">
        <f t="shared" si="12"/>
        <v/>
      </c>
      <c r="K47" s="32"/>
      <c r="L47" s="33">
        <f t="shared" si="13"/>
        <v>0</v>
      </c>
      <c r="M47" s="32"/>
      <c r="N47" s="32"/>
      <c r="O47" s="34">
        <f t="shared" si="14"/>
        <v>0</v>
      </c>
      <c r="P47" s="44"/>
      <c r="Q47" s="44"/>
      <c r="R47" s="37">
        <f t="shared" si="15"/>
        <v>0</v>
      </c>
      <c r="S47" s="38">
        <f t="shared" si="16"/>
        <v>0</v>
      </c>
      <c r="T47" s="65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10"/>
        <v>0</v>
      </c>
      <c r="I48" s="31">
        <f t="shared" si="11"/>
        <v>0</v>
      </c>
      <c r="J48" s="32" t="str">
        <f t="shared" si="12"/>
        <v/>
      </c>
      <c r="K48" s="32"/>
      <c r="L48" s="33">
        <f t="shared" si="13"/>
        <v>0</v>
      </c>
      <c r="M48" s="32"/>
      <c r="N48" s="32"/>
      <c r="O48" s="34">
        <f t="shared" si="14"/>
        <v>0</v>
      </c>
      <c r="P48" s="44"/>
      <c r="Q48" s="44"/>
      <c r="R48" s="37">
        <f t="shared" si="15"/>
        <v>0</v>
      </c>
      <c r="S48" s="38">
        <f t="shared" si="16"/>
        <v>0</v>
      </c>
      <c r="T48" s="65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10"/>
        <v>0</v>
      </c>
      <c r="I49" s="31">
        <f t="shared" si="11"/>
        <v>0</v>
      </c>
      <c r="J49" s="32" t="str">
        <f t="shared" si="12"/>
        <v/>
      </c>
      <c r="K49" s="32"/>
      <c r="L49" s="33">
        <f t="shared" si="13"/>
        <v>0</v>
      </c>
      <c r="M49" s="32"/>
      <c r="N49" s="32"/>
      <c r="O49" s="34">
        <f t="shared" si="14"/>
        <v>0</v>
      </c>
      <c r="P49" s="44"/>
      <c r="Q49" s="44"/>
      <c r="R49" s="37">
        <f t="shared" si="15"/>
        <v>0</v>
      </c>
      <c r="S49" s="38">
        <f t="shared" si="16"/>
        <v>0</v>
      </c>
      <c r="T49" s="65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10"/>
        <v>0</v>
      </c>
      <c r="I50" s="31">
        <f t="shared" si="11"/>
        <v>0</v>
      </c>
      <c r="J50" s="32" t="str">
        <f t="shared" si="12"/>
        <v/>
      </c>
      <c r="K50" s="32"/>
      <c r="L50" s="33">
        <f t="shared" si="13"/>
        <v>0</v>
      </c>
      <c r="M50" s="32"/>
      <c r="N50" s="32"/>
      <c r="O50" s="34">
        <f t="shared" si="14"/>
        <v>0</v>
      </c>
      <c r="P50" s="44"/>
      <c r="Q50" s="44"/>
      <c r="R50" s="37">
        <f t="shared" si="15"/>
        <v>0</v>
      </c>
      <c r="S50" s="38">
        <f t="shared" si="16"/>
        <v>0</v>
      </c>
      <c r="T50" s="65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10"/>
        <v>0</v>
      </c>
      <c r="I51" s="31">
        <f t="shared" si="11"/>
        <v>0</v>
      </c>
      <c r="J51" s="32" t="str">
        <f t="shared" si="12"/>
        <v/>
      </c>
      <c r="K51" s="32"/>
      <c r="L51" s="33">
        <f t="shared" si="13"/>
        <v>0</v>
      </c>
      <c r="M51" s="32"/>
      <c r="N51" s="32"/>
      <c r="O51" s="34">
        <f t="shared" si="14"/>
        <v>0</v>
      </c>
      <c r="P51" s="44"/>
      <c r="Q51" s="44"/>
      <c r="R51" s="37">
        <f t="shared" si="15"/>
        <v>0</v>
      </c>
      <c r="S51" s="38">
        <f t="shared" si="16"/>
        <v>0</v>
      </c>
      <c r="T51" s="117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10"/>
        <v>0</v>
      </c>
      <c r="I52" s="31">
        <f t="shared" si="11"/>
        <v>0</v>
      </c>
      <c r="J52" s="32" t="str">
        <f t="shared" si="12"/>
        <v/>
      </c>
      <c r="K52" s="32"/>
      <c r="L52" s="33">
        <f t="shared" si="13"/>
        <v>0</v>
      </c>
      <c r="M52" s="32"/>
      <c r="N52" s="32"/>
      <c r="O52" s="34">
        <f t="shared" si="14"/>
        <v>0</v>
      </c>
      <c r="P52" s="44"/>
      <c r="Q52" s="44"/>
      <c r="R52" s="37">
        <f t="shared" si="15"/>
        <v>0</v>
      </c>
      <c r="S52" s="38">
        <f t="shared" si="16"/>
        <v>0</v>
      </c>
      <c r="T52" s="117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10"/>
        <v>0</v>
      </c>
      <c r="I53" s="31">
        <f t="shared" si="11"/>
        <v>0</v>
      </c>
      <c r="J53" s="32" t="str">
        <f t="shared" si="12"/>
        <v/>
      </c>
      <c r="K53" s="32"/>
      <c r="L53" s="33">
        <f t="shared" si="13"/>
        <v>0</v>
      </c>
      <c r="M53" s="32"/>
      <c r="N53" s="32"/>
      <c r="O53" s="34">
        <f t="shared" si="14"/>
        <v>0</v>
      </c>
      <c r="P53" s="44"/>
      <c r="Q53" s="44"/>
      <c r="R53" s="37">
        <f t="shared" si="15"/>
        <v>0</v>
      </c>
      <c r="S53" s="38">
        <f t="shared" si="16"/>
        <v>0</v>
      </c>
      <c r="T53" s="117"/>
      <c r="U53" s="42"/>
      <c r="V53" s="24"/>
      <c r="W53" s="24"/>
    </row>
    <row r="54" ht="37.5" customHeight="1">
      <c r="B54" s="25">
        <v>21.0</v>
      </c>
      <c r="C54" s="49"/>
      <c r="D54" s="51"/>
      <c r="E54" s="51"/>
      <c r="F54" s="42"/>
      <c r="G54" s="53"/>
      <c r="H54" s="31">
        <f t="shared" si="10"/>
        <v>0</v>
      </c>
      <c r="I54" s="31">
        <f t="shared" si="11"/>
        <v>0</v>
      </c>
      <c r="J54" s="32" t="str">
        <f t="shared" si="12"/>
        <v/>
      </c>
      <c r="K54" s="32"/>
      <c r="L54" s="33">
        <f t="shared" si="13"/>
        <v>0</v>
      </c>
      <c r="M54" s="32"/>
      <c r="N54" s="32"/>
      <c r="O54" s="34">
        <f t="shared" si="14"/>
        <v>0</v>
      </c>
      <c r="P54" s="44"/>
      <c r="Q54" s="44"/>
      <c r="R54" s="37">
        <f t="shared" si="15"/>
        <v>0</v>
      </c>
      <c r="S54" s="38">
        <f t="shared" si="16"/>
        <v>0</v>
      </c>
      <c r="T54" s="117"/>
      <c r="U54" s="42"/>
    </row>
    <row r="55" ht="37.5" customHeight="1">
      <c r="B55" s="25">
        <v>22.0</v>
      </c>
      <c r="C55" s="144"/>
      <c r="D55" s="42"/>
      <c r="E55" s="42"/>
      <c r="F55" s="145"/>
      <c r="G55" s="53"/>
      <c r="H55" s="31">
        <f t="shared" si="10"/>
        <v>0</v>
      </c>
      <c r="I55" s="31">
        <f t="shared" si="11"/>
        <v>0</v>
      </c>
      <c r="J55" s="32" t="str">
        <f t="shared" si="12"/>
        <v/>
      </c>
      <c r="K55" s="32"/>
      <c r="L55" s="33">
        <f t="shared" si="13"/>
        <v>0</v>
      </c>
      <c r="M55" s="32"/>
      <c r="N55" s="32"/>
      <c r="O55" s="34">
        <f t="shared" si="14"/>
        <v>0</v>
      </c>
      <c r="P55" s="44"/>
      <c r="Q55" s="44"/>
      <c r="R55" s="37">
        <f t="shared" si="15"/>
        <v>0</v>
      </c>
      <c r="S55" s="38">
        <f t="shared" si="16"/>
        <v>0</v>
      </c>
      <c r="T55" s="117"/>
      <c r="U55" s="42"/>
    </row>
    <row r="56" ht="37.5" customHeight="1">
      <c r="B56" s="54"/>
      <c r="F56" s="55" t="s">
        <v>21</v>
      </c>
      <c r="S56" s="56">
        <f>SUM(S34:S55)</f>
        <v>0</v>
      </c>
      <c r="T56" s="57"/>
      <c r="U56" s="58"/>
    </row>
    <row r="57" ht="37.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t="37.5" customHeight="1">
      <c r="B58" s="21" t="str">
        <f>IFERROR(__xludf.DUMMYFUNCTION("IMPORTRANGE(""https://docs.google.com/spreadsheets/d/17TnzcKnlaqlAyM_3lnNpgK5CAOPbscCCRVH50X8UulY/edit?usp=sharing"",""SEPTEMBER!B50"")"),"TANGGAL : 14-19 SEPTEMBER 2026")</f>
        <v>TANGGAL : 14-19 SEPTEMBER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IFERROR(__xludf.DUMMYFUNCTION("IMPORTRANGE(""https://docs.google.com/spreadsheets/d/17TnzcKnlaqlAyM_3lnNpgK5CAOPbscCCRVH50X8UulY/edit?usp=sharing"",""SEPTEMBER!B51:D70"")"),"EPUL")</f>
        <v>EPUL</v>
      </c>
      <c r="D59" s="27" t="str">
        <f>IFERROR(__xludf.DUMMYFUNCTION("""COMPUTED_VALUE"""),"KEPALA")</f>
        <v>KEPALA</v>
      </c>
      <c r="E59" s="28"/>
      <c r="F59" s="52">
        <f>IFERROR(__xludf.DUMMYFUNCTION("IMPORTRANGE(""https://docs.google.com/spreadsheets/d/17TnzcKnlaqlAyM_3lnNpgK5CAOPbscCCRVH50X8UulY/edit?usp=sharing"",""SEPTEMBER!K51:K69"")"),0.0)</f>
        <v>0</v>
      </c>
      <c r="G59" s="30">
        <v>110000.0</v>
      </c>
      <c r="H59" s="31">
        <f t="shared" ref="H59:H80" si="17">F59*G59</f>
        <v>0</v>
      </c>
      <c r="I59" s="31">
        <f t="shared" ref="I59:I80" si="18">F59*10000</f>
        <v>0</v>
      </c>
      <c r="J59" s="32" t="str">
        <f t="shared" ref="J59:J80" si="19">IF(E59="SHIFT 2",I59,"")</f>
        <v/>
      </c>
      <c r="K59" s="32"/>
      <c r="L59" s="33">
        <f t="shared" ref="L59:L80" si="20">U59*$L$58</f>
        <v>0</v>
      </c>
      <c r="M59" s="32"/>
      <c r="N59" s="32"/>
      <c r="O59" s="34">
        <f t="shared" ref="O59:O80" si="21">SUM(H59:N59)</f>
        <v>0</v>
      </c>
      <c r="P59" s="44"/>
      <c r="Q59" s="44"/>
      <c r="R59" s="37">
        <f t="shared" ref="R59:R80" si="22">SUM(P59:Q59)</f>
        <v>0</v>
      </c>
      <c r="S59" s="38">
        <f t="shared" ref="S59:S80" si="23">O59-R59</f>
        <v>0</v>
      </c>
      <c r="T59" s="52" t="str">
        <f>IFERROR(__xludf.DUMMYFUNCTION("IMPORTRANGE(""https://docs.google.com/spreadsheets/d/17TnzcKnlaqlAyM_3lnNpgK5CAOPbscCCRVH50X8UulY/edit?usp=sharing"",""SEPTEMBER!L51:L69"")"),"")</f>
        <v/>
      </c>
      <c r="U59" s="42">
        <f>IFERROR(__xludf.DUMMYFUNCTION("IMPORTRANGE(""https://docs.google.com/spreadsheets/d/17TnzcKnlaqlAyM_3lnNpgK5CAOPbscCCRVH50X8UulY/edit?usp=sharing"",""SEPTEMBER!U51:U69"")"),0.0)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/>
      <c r="F60" s="52">
        <f>IFERROR(__xludf.DUMMYFUNCTION("""COMPUTED_VALUE"""),0.0)</f>
        <v>0</v>
      </c>
      <c r="G60" s="30">
        <v>70000.0</v>
      </c>
      <c r="H60" s="31">
        <f t="shared" si="17"/>
        <v>0</v>
      </c>
      <c r="I60" s="31">
        <f t="shared" si="18"/>
        <v>0</v>
      </c>
      <c r="J60" s="32" t="str">
        <f t="shared" si="19"/>
        <v/>
      </c>
      <c r="K60" s="41"/>
      <c r="L60" s="33">
        <f t="shared" si="20"/>
        <v>0</v>
      </c>
      <c r="M60" s="41"/>
      <c r="N60" s="41"/>
      <c r="O60" s="34">
        <f t="shared" si="21"/>
        <v>0</v>
      </c>
      <c r="P60" s="44"/>
      <c r="Q60" s="44"/>
      <c r="R60" s="37">
        <f t="shared" si="22"/>
        <v>0</v>
      </c>
      <c r="S60" s="38">
        <f t="shared" si="23"/>
        <v>0</v>
      </c>
      <c r="T60" s="39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/>
      <c r="D61" s="27" t="str">
        <f>IFERROR(__xludf.DUMMYFUNCTION("""COMPUTED_VALUE"""),"ADMIN")</f>
        <v>ADMIN</v>
      </c>
      <c r="E61" s="28"/>
      <c r="F61" s="52">
        <f>IFERROR(__xludf.DUMMYFUNCTION("""COMPUTED_VALUE"""),0.0)</f>
        <v>0</v>
      </c>
      <c r="G61" s="30">
        <v>70000.0</v>
      </c>
      <c r="H61" s="31">
        <f t="shared" si="17"/>
        <v>0</v>
      </c>
      <c r="I61" s="31">
        <f t="shared" si="18"/>
        <v>0</v>
      </c>
      <c r="J61" s="32" t="str">
        <f t="shared" si="19"/>
        <v/>
      </c>
      <c r="K61" s="41"/>
      <c r="L61" s="33">
        <f t="shared" si="20"/>
        <v>0</v>
      </c>
      <c r="M61" s="41"/>
      <c r="N61" s="41"/>
      <c r="O61" s="34">
        <f t="shared" si="21"/>
        <v>0</v>
      </c>
      <c r="P61" s="44"/>
      <c r="Q61" s="44"/>
      <c r="R61" s="37">
        <f t="shared" si="22"/>
        <v>0</v>
      </c>
      <c r="S61" s="38">
        <f t="shared" si="23"/>
        <v>0</v>
      </c>
      <c r="T61" s="39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IFERROR(__xludf.DUMMYFUNCTION("""COMPUTED_VALUE"""),"ANDRI")</f>
        <v>ANDRI</v>
      </c>
      <c r="D62" s="27" t="str">
        <f>IFERROR(__xludf.DUMMYFUNCTION("""COMPUTED_VALUE"""),"DESIGN BORDIR")</f>
        <v>DESIGN BORDIR</v>
      </c>
      <c r="E62" s="28"/>
      <c r="F62" s="52">
        <f>IFERROR(__xludf.DUMMYFUNCTION("""COMPUTED_VALUE"""),0.0)</f>
        <v>0</v>
      </c>
      <c r="G62" s="30">
        <v>70000.0</v>
      </c>
      <c r="H62" s="31">
        <f t="shared" si="17"/>
        <v>0</v>
      </c>
      <c r="I62" s="31">
        <f t="shared" si="18"/>
        <v>0</v>
      </c>
      <c r="J62" s="32" t="str">
        <f t="shared" si="19"/>
        <v/>
      </c>
      <c r="K62" s="32"/>
      <c r="L62" s="33">
        <f t="shared" si="20"/>
        <v>0</v>
      </c>
      <c r="M62" s="32"/>
      <c r="N62" s="32"/>
      <c r="O62" s="34">
        <f t="shared" si="21"/>
        <v>0</v>
      </c>
      <c r="P62" s="44"/>
      <c r="Q62" s="44"/>
      <c r="R62" s="37">
        <f t="shared" si="22"/>
        <v>0</v>
      </c>
      <c r="S62" s="38">
        <f t="shared" si="23"/>
        <v>0</v>
      </c>
      <c r="T62" s="39"/>
      <c r="U62" s="42">
        <f>IFERROR(__xludf.DUMMYFUNCTION("""COMPUTED_VALUE"""),0.0)</f>
        <v>0</v>
      </c>
      <c r="V62" s="63"/>
      <c r="W62" s="63"/>
    </row>
    <row r="63" ht="37.5" customHeight="1">
      <c r="B63" s="25">
        <v>5.0</v>
      </c>
      <c r="C63" s="26" t="str">
        <f>IFERROR(__xludf.DUMMYFUNCTION("""COMPUTED_VALUE"""),"ADIT")</f>
        <v>ADIT</v>
      </c>
      <c r="D63" s="27" t="str">
        <f>IFERROR(__xludf.DUMMYFUNCTION("""COMPUTED_VALUE"""),"CREATOR")</f>
        <v>CREATOR</v>
      </c>
      <c r="E63" s="28"/>
      <c r="F63" s="52">
        <f>IFERROR(__xludf.DUMMYFUNCTION("""COMPUTED_VALUE"""),0.0)</f>
        <v>0</v>
      </c>
      <c r="G63" s="30">
        <v>50000.0</v>
      </c>
      <c r="H63" s="31">
        <f t="shared" si="17"/>
        <v>0</v>
      </c>
      <c r="I63" s="31">
        <f t="shared" si="18"/>
        <v>0</v>
      </c>
      <c r="J63" s="32" t="str">
        <f t="shared" si="19"/>
        <v/>
      </c>
      <c r="K63" s="32"/>
      <c r="L63" s="33">
        <f t="shared" si="20"/>
        <v>0</v>
      </c>
      <c r="M63" s="32"/>
      <c r="N63" s="32"/>
      <c r="O63" s="34">
        <f t="shared" si="21"/>
        <v>0</v>
      </c>
      <c r="P63" s="44"/>
      <c r="Q63" s="44"/>
      <c r="R63" s="37">
        <f t="shared" si="22"/>
        <v>0</v>
      </c>
      <c r="S63" s="38">
        <f t="shared" si="23"/>
        <v>0</v>
      </c>
      <c r="T63" s="39"/>
      <c r="U63" s="42">
        <f>IFERROR(__xludf.DUMMYFUNCTION("""COMPUTED_VALUE"""),0.0)</f>
        <v>0</v>
      </c>
      <c r="V63" s="63"/>
      <c r="W63" s="63"/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/>
      <c r="F64" s="52">
        <f>IFERROR(__xludf.DUMMYFUNCTION("""COMPUTED_VALUE"""),0.0)</f>
        <v>0</v>
      </c>
      <c r="G64" s="30">
        <v>70000.0</v>
      </c>
      <c r="H64" s="31">
        <f t="shared" si="17"/>
        <v>0</v>
      </c>
      <c r="I64" s="31">
        <f t="shared" si="18"/>
        <v>0</v>
      </c>
      <c r="J64" s="32" t="str">
        <f t="shared" si="19"/>
        <v/>
      </c>
      <c r="K64" s="32"/>
      <c r="L64" s="33">
        <f t="shared" si="20"/>
        <v>0</v>
      </c>
      <c r="M64" s="32"/>
      <c r="N64" s="32"/>
      <c r="O64" s="34">
        <f t="shared" si="21"/>
        <v>0</v>
      </c>
      <c r="P64" s="44"/>
      <c r="Q64" s="44"/>
      <c r="R64" s="37">
        <f t="shared" si="22"/>
        <v>0</v>
      </c>
      <c r="S64" s="38">
        <f t="shared" si="23"/>
        <v>0</v>
      </c>
      <c r="T64" s="39"/>
      <c r="U64" s="42">
        <f>IFERROR(__xludf.DUMMYFUNCTION("""COMPUTED_VALUE"""),0.0)</f>
        <v>0</v>
      </c>
      <c r="V64" s="63"/>
      <c r="W64" s="63"/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/>
      <c r="F65" s="52">
        <f>IFERROR(__xludf.DUMMYFUNCTION("""COMPUTED_VALUE"""),0.0)</f>
        <v>0</v>
      </c>
      <c r="G65" s="30">
        <v>70000.0</v>
      </c>
      <c r="H65" s="31">
        <f t="shared" si="17"/>
        <v>0</v>
      </c>
      <c r="I65" s="31">
        <f t="shared" si="18"/>
        <v>0</v>
      </c>
      <c r="J65" s="32" t="str">
        <f t="shared" si="19"/>
        <v/>
      </c>
      <c r="K65" s="32"/>
      <c r="L65" s="33">
        <f t="shared" si="20"/>
        <v>0</v>
      </c>
      <c r="M65" s="32"/>
      <c r="N65" s="32"/>
      <c r="O65" s="34">
        <f t="shared" si="21"/>
        <v>0</v>
      </c>
      <c r="P65" s="44"/>
      <c r="Q65" s="44"/>
      <c r="R65" s="37">
        <f t="shared" si="22"/>
        <v>0</v>
      </c>
      <c r="S65" s="38">
        <f t="shared" si="23"/>
        <v>0</v>
      </c>
      <c r="T65" s="39"/>
      <c r="U65" s="42">
        <f>IFERROR(__xludf.DUMMYFUNCTION("""COMPUTED_VALUE"""),0.0)</f>
        <v>0</v>
      </c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/>
      <c r="F66" s="52">
        <f>IFERROR(__xludf.DUMMYFUNCTION("""COMPUTED_VALUE"""),0.0)</f>
        <v>0</v>
      </c>
      <c r="G66" s="30">
        <v>50000.0</v>
      </c>
      <c r="H66" s="31">
        <f t="shared" si="17"/>
        <v>0</v>
      </c>
      <c r="I66" s="31">
        <f t="shared" si="18"/>
        <v>0</v>
      </c>
      <c r="J66" s="32" t="str">
        <f t="shared" si="19"/>
        <v/>
      </c>
      <c r="K66" s="32"/>
      <c r="L66" s="33">
        <f t="shared" si="20"/>
        <v>0</v>
      </c>
      <c r="M66" s="32"/>
      <c r="N66" s="32"/>
      <c r="O66" s="34">
        <f t="shared" si="21"/>
        <v>0</v>
      </c>
      <c r="P66" s="44"/>
      <c r="Q66" s="44"/>
      <c r="R66" s="37">
        <f t="shared" si="22"/>
        <v>0</v>
      </c>
      <c r="S66" s="38">
        <f t="shared" si="23"/>
        <v>0</v>
      </c>
      <c r="T66" s="39"/>
      <c r="U66" s="42">
        <f>IFERROR(__xludf.DUMMYFUNCTION("""COMPUTED_VALUE"""),0.0)</f>
        <v>0</v>
      </c>
    </row>
    <row r="67" ht="37.5" customHeight="1">
      <c r="B67" s="25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/>
      <c r="F67" s="52">
        <f>IFERROR(__xludf.DUMMYFUNCTION("""COMPUTED_VALUE"""),0.0)</f>
        <v>0</v>
      </c>
      <c r="G67" s="30">
        <v>50000.0</v>
      </c>
      <c r="H67" s="31">
        <f t="shared" si="17"/>
        <v>0</v>
      </c>
      <c r="I67" s="31">
        <f t="shared" si="18"/>
        <v>0</v>
      </c>
      <c r="J67" s="32" t="str">
        <f t="shared" si="19"/>
        <v/>
      </c>
      <c r="K67" s="32"/>
      <c r="L67" s="33">
        <f t="shared" si="20"/>
        <v>0</v>
      </c>
      <c r="M67" s="32"/>
      <c r="N67" s="32"/>
      <c r="O67" s="34">
        <f t="shared" si="21"/>
        <v>0</v>
      </c>
      <c r="P67" s="44"/>
      <c r="Q67" s="44"/>
      <c r="R67" s="37">
        <f t="shared" si="22"/>
        <v>0</v>
      </c>
      <c r="S67" s="38">
        <f t="shared" si="23"/>
        <v>0</v>
      </c>
      <c r="T67" s="39"/>
      <c r="U67" s="42">
        <f>IFERROR(__xludf.DUMMYFUNCTION("""COMPUTED_VALUE"""),0.0)</f>
        <v>0</v>
      </c>
    </row>
    <row r="68" ht="37.5" customHeight="1">
      <c r="B68" s="25">
        <v>10.0</v>
      </c>
      <c r="C68" s="25" t="str">
        <f>IFERROR(__xludf.DUMMYFUNCTION("""COMPUTED_VALUE"""),"IIS")</f>
        <v>IIS</v>
      </c>
      <c r="D68" s="27" t="str">
        <f>IFERROR(__xludf.DUMMYFUNCTION("""COMPUTED_VALUE"""),"PACKING")</f>
        <v>PACKING</v>
      </c>
      <c r="E68" s="51"/>
      <c r="F68" s="52">
        <f>IFERROR(__xludf.DUMMYFUNCTION("""COMPUTED_VALUE"""),0.0)</f>
        <v>0</v>
      </c>
      <c r="G68" s="45"/>
      <c r="H68" s="31">
        <f t="shared" si="17"/>
        <v>0</v>
      </c>
      <c r="I68" s="31">
        <f t="shared" si="18"/>
        <v>0</v>
      </c>
      <c r="J68" s="32" t="str">
        <f t="shared" si="19"/>
        <v/>
      </c>
      <c r="K68" s="32"/>
      <c r="L68" s="33">
        <f t="shared" si="20"/>
        <v>0</v>
      </c>
      <c r="M68" s="32"/>
      <c r="N68" s="32"/>
      <c r="O68" s="34">
        <f t="shared" si="21"/>
        <v>0</v>
      </c>
      <c r="P68" s="44"/>
      <c r="Q68" s="44"/>
      <c r="R68" s="37">
        <f t="shared" si="22"/>
        <v>0</v>
      </c>
      <c r="S68" s="38">
        <f t="shared" si="23"/>
        <v>0</v>
      </c>
      <c r="T68" s="39"/>
      <c r="U68" s="42">
        <f>IFERROR(__xludf.DUMMYFUNCTION("""COMPUTED_VALUE"""),0.0)</f>
        <v>0</v>
      </c>
    </row>
    <row r="69" ht="37.5" customHeight="1">
      <c r="B69" s="25">
        <v>11.0</v>
      </c>
      <c r="C69" s="25"/>
      <c r="D69" s="146"/>
      <c r="E69" s="51"/>
      <c r="F69" s="52">
        <f>IFERROR(__xludf.DUMMYFUNCTION("""COMPUTED_VALUE"""),0.0)</f>
        <v>0</v>
      </c>
      <c r="G69" s="45"/>
      <c r="H69" s="31">
        <f t="shared" si="17"/>
        <v>0</v>
      </c>
      <c r="I69" s="31">
        <f t="shared" si="18"/>
        <v>0</v>
      </c>
      <c r="J69" s="32" t="str">
        <f t="shared" si="19"/>
        <v/>
      </c>
      <c r="K69" s="32"/>
      <c r="L69" s="33">
        <f t="shared" si="20"/>
        <v>0</v>
      </c>
      <c r="M69" s="32"/>
      <c r="N69" s="32"/>
      <c r="O69" s="34">
        <f t="shared" si="21"/>
        <v>0</v>
      </c>
      <c r="P69" s="44"/>
      <c r="Q69" s="44"/>
      <c r="R69" s="37">
        <f t="shared" si="22"/>
        <v>0</v>
      </c>
      <c r="S69" s="38">
        <f t="shared" si="23"/>
        <v>0</v>
      </c>
      <c r="T69" s="39"/>
      <c r="U69" s="42">
        <f>IFERROR(__xludf.DUMMYFUNCTION("""COMPUTED_VALUE"""),0.0)</f>
        <v>0</v>
      </c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7"/>
        <v>0</v>
      </c>
      <c r="I70" s="31">
        <f t="shared" si="18"/>
        <v>0</v>
      </c>
      <c r="J70" s="32" t="str">
        <f t="shared" si="19"/>
        <v/>
      </c>
      <c r="K70" s="32"/>
      <c r="L70" s="33">
        <f t="shared" si="20"/>
        <v>0</v>
      </c>
      <c r="M70" s="32"/>
      <c r="N70" s="32"/>
      <c r="O70" s="34">
        <f t="shared" si="21"/>
        <v>0</v>
      </c>
      <c r="P70" s="44"/>
      <c r="Q70" s="44"/>
      <c r="R70" s="37">
        <f t="shared" si="22"/>
        <v>0</v>
      </c>
      <c r="S70" s="38">
        <f t="shared" si="23"/>
        <v>0</v>
      </c>
      <c r="T70" s="39"/>
      <c r="U70" s="42">
        <f>IFERROR(__xludf.DUMMYFUNCTION("""COMPUTED_VALUE"""),0.0)</f>
        <v>0</v>
      </c>
    </row>
    <row r="71" ht="37.5" customHeight="1">
      <c r="B71" s="25">
        <v>13.0</v>
      </c>
      <c r="C71" s="25"/>
      <c r="D71" s="146"/>
      <c r="E71" s="51"/>
      <c r="F71" s="52">
        <f>IFERROR(__xludf.DUMMYFUNCTION("""COMPUTED_VALUE"""),0.0)</f>
        <v>0</v>
      </c>
      <c r="G71" s="45"/>
      <c r="H71" s="31">
        <f t="shared" si="17"/>
        <v>0</v>
      </c>
      <c r="I71" s="31">
        <f t="shared" si="18"/>
        <v>0</v>
      </c>
      <c r="J71" s="32" t="str">
        <f t="shared" si="19"/>
        <v/>
      </c>
      <c r="K71" s="32"/>
      <c r="L71" s="33">
        <f t="shared" si="20"/>
        <v>0</v>
      </c>
      <c r="M71" s="32"/>
      <c r="N71" s="32"/>
      <c r="O71" s="34">
        <f t="shared" si="21"/>
        <v>0</v>
      </c>
      <c r="P71" s="44"/>
      <c r="Q71" s="44"/>
      <c r="R71" s="37">
        <f t="shared" si="22"/>
        <v>0</v>
      </c>
      <c r="S71" s="38">
        <f t="shared" si="23"/>
        <v>0</v>
      </c>
      <c r="T71" s="39"/>
      <c r="U71" s="42">
        <f>IFERROR(__xludf.DUMMYFUNCTION("""COMPUTED_VALUE"""),0.0)</f>
        <v>0</v>
      </c>
    </row>
    <row r="72" ht="37.5" customHeight="1">
      <c r="B72" s="25">
        <v>14.0</v>
      </c>
      <c r="C72" s="25"/>
      <c r="D72" s="146"/>
      <c r="E72" s="51"/>
      <c r="F72" s="52">
        <f>IFERROR(__xludf.DUMMYFUNCTION("""COMPUTED_VALUE"""),0.0)</f>
        <v>0</v>
      </c>
      <c r="G72" s="45"/>
      <c r="H72" s="31">
        <f t="shared" si="17"/>
        <v>0</v>
      </c>
      <c r="I72" s="31">
        <f t="shared" si="18"/>
        <v>0</v>
      </c>
      <c r="J72" s="32" t="str">
        <f t="shared" si="19"/>
        <v/>
      </c>
      <c r="K72" s="32"/>
      <c r="L72" s="33">
        <f t="shared" si="20"/>
        <v>0</v>
      </c>
      <c r="M72" s="32"/>
      <c r="N72" s="32"/>
      <c r="O72" s="34">
        <f t="shared" si="21"/>
        <v>0</v>
      </c>
      <c r="P72" s="44"/>
      <c r="Q72" s="44"/>
      <c r="R72" s="37">
        <f t="shared" si="22"/>
        <v>0</v>
      </c>
      <c r="S72" s="38">
        <f t="shared" si="23"/>
        <v>0</v>
      </c>
      <c r="T72" s="39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7"/>
        <v>0</v>
      </c>
      <c r="I73" s="31">
        <f t="shared" si="18"/>
        <v>0</v>
      </c>
      <c r="J73" s="32" t="str">
        <f t="shared" si="19"/>
        <v/>
      </c>
      <c r="K73" s="32"/>
      <c r="L73" s="33">
        <f t="shared" si="20"/>
        <v>0</v>
      </c>
      <c r="M73" s="32"/>
      <c r="N73" s="32"/>
      <c r="O73" s="34">
        <f t="shared" si="21"/>
        <v>0</v>
      </c>
      <c r="P73" s="44"/>
      <c r="Q73" s="44"/>
      <c r="R73" s="37">
        <f t="shared" si="22"/>
        <v>0</v>
      </c>
      <c r="S73" s="38">
        <f t="shared" si="23"/>
        <v>0</v>
      </c>
      <c r="T73" s="39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7"/>
        <v>0</v>
      </c>
      <c r="I74" s="31">
        <f t="shared" si="18"/>
        <v>0</v>
      </c>
      <c r="J74" s="32" t="str">
        <f t="shared" si="19"/>
        <v/>
      </c>
      <c r="K74" s="32"/>
      <c r="L74" s="33">
        <f t="shared" si="20"/>
        <v>0</v>
      </c>
      <c r="M74" s="32"/>
      <c r="N74" s="32"/>
      <c r="O74" s="34">
        <f t="shared" si="21"/>
        <v>0</v>
      </c>
      <c r="P74" s="44"/>
      <c r="Q74" s="44"/>
      <c r="R74" s="37">
        <f t="shared" si="22"/>
        <v>0</v>
      </c>
      <c r="S74" s="38">
        <f t="shared" si="23"/>
        <v>0</v>
      </c>
      <c r="T74" s="39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7"/>
        <v>0</v>
      </c>
      <c r="I75" s="31">
        <f t="shared" si="18"/>
        <v>0</v>
      </c>
      <c r="J75" s="32" t="str">
        <f t="shared" si="19"/>
        <v/>
      </c>
      <c r="K75" s="32"/>
      <c r="L75" s="33">
        <f t="shared" si="20"/>
        <v>0</v>
      </c>
      <c r="M75" s="32"/>
      <c r="N75" s="32"/>
      <c r="O75" s="34">
        <f t="shared" si="21"/>
        <v>0</v>
      </c>
      <c r="P75" s="44"/>
      <c r="Q75" s="44"/>
      <c r="R75" s="37">
        <f t="shared" si="22"/>
        <v>0</v>
      </c>
      <c r="S75" s="38">
        <f t="shared" si="23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7"/>
        <v>0</v>
      </c>
      <c r="I76" s="31">
        <f t="shared" si="18"/>
        <v>0</v>
      </c>
      <c r="J76" s="32" t="str">
        <f t="shared" si="19"/>
        <v/>
      </c>
      <c r="K76" s="32"/>
      <c r="L76" s="33">
        <f t="shared" si="20"/>
        <v>0</v>
      </c>
      <c r="M76" s="32"/>
      <c r="N76" s="32"/>
      <c r="O76" s="34">
        <f t="shared" si="21"/>
        <v>0</v>
      </c>
      <c r="P76" s="44"/>
      <c r="Q76" s="44"/>
      <c r="R76" s="37">
        <f t="shared" si="22"/>
        <v>0</v>
      </c>
      <c r="S76" s="38">
        <f t="shared" si="23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7"/>
        <v>0</v>
      </c>
      <c r="I77" s="31">
        <f t="shared" si="18"/>
        <v>0</v>
      </c>
      <c r="J77" s="32" t="str">
        <f t="shared" si="19"/>
        <v/>
      </c>
      <c r="K77" s="32"/>
      <c r="L77" s="33">
        <f t="shared" si="20"/>
        <v>0</v>
      </c>
      <c r="M77" s="32"/>
      <c r="N77" s="32"/>
      <c r="O77" s="34">
        <f t="shared" si="21"/>
        <v>0</v>
      </c>
      <c r="P77" s="44"/>
      <c r="Q77" s="44"/>
      <c r="R77" s="37">
        <f t="shared" si="22"/>
        <v>0</v>
      </c>
      <c r="S77" s="38">
        <f t="shared" si="23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7"/>
        <v>0</v>
      </c>
      <c r="I78" s="31">
        <f t="shared" si="18"/>
        <v>0</v>
      </c>
      <c r="J78" s="32" t="str">
        <f t="shared" si="19"/>
        <v/>
      </c>
      <c r="K78" s="32"/>
      <c r="L78" s="33">
        <f t="shared" si="20"/>
        <v>0</v>
      </c>
      <c r="M78" s="32"/>
      <c r="N78" s="32"/>
      <c r="O78" s="34">
        <f t="shared" si="21"/>
        <v>0</v>
      </c>
      <c r="P78" s="44"/>
      <c r="Q78" s="44"/>
      <c r="R78" s="37">
        <f t="shared" si="22"/>
        <v>0</v>
      </c>
      <c r="S78" s="38">
        <f t="shared" si="23"/>
        <v>0</v>
      </c>
      <c r="T78" s="51"/>
      <c r="U78" s="42"/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7"/>
        <v>0</v>
      </c>
      <c r="I79" s="31">
        <f t="shared" si="18"/>
        <v>0</v>
      </c>
      <c r="J79" s="32" t="str">
        <f t="shared" si="19"/>
        <v/>
      </c>
      <c r="K79" s="32"/>
      <c r="L79" s="33">
        <f t="shared" si="20"/>
        <v>0</v>
      </c>
      <c r="M79" s="32"/>
      <c r="N79" s="32"/>
      <c r="O79" s="34">
        <f t="shared" si="21"/>
        <v>0</v>
      </c>
      <c r="P79" s="44"/>
      <c r="Q79" s="44"/>
      <c r="R79" s="37">
        <f t="shared" si="22"/>
        <v>0</v>
      </c>
      <c r="S79" s="38">
        <f t="shared" si="23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7"/>
        <v>0</v>
      </c>
      <c r="I80" s="31">
        <f t="shared" si="18"/>
        <v>0</v>
      </c>
      <c r="J80" s="32" t="str">
        <f t="shared" si="19"/>
        <v/>
      </c>
      <c r="K80" s="32"/>
      <c r="L80" s="33">
        <f t="shared" si="20"/>
        <v>0</v>
      </c>
      <c r="M80" s="32"/>
      <c r="N80" s="32"/>
      <c r="O80" s="34">
        <f t="shared" si="21"/>
        <v>0</v>
      </c>
      <c r="P80" s="44"/>
      <c r="Q80" s="44"/>
      <c r="R80" s="37">
        <f t="shared" si="22"/>
        <v>0</v>
      </c>
      <c r="S80" s="38">
        <f t="shared" si="23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IFERROR(__xludf.DUMMYFUNCTION("IMPORTRANGE(""https://docs.google.com/spreadsheets/d/17TnzcKnlaqlAyM_3lnNpgK5CAOPbscCCRVH50X8UulY/edit?usp=sharing"",""SEPTEMBER!B72"")"),"TANGGAL : 21-26 SEPTEMBER 2026")</f>
        <v>TANGGAL : 21-26 SEPTEMBER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IFERROR(__xludf.DUMMYFUNCTION("IMPORTRANGE(""https://docs.google.com/spreadsheets/d/17TnzcKnlaqlAyM_3lnNpgK5CAOPbscCCRVH50X8UulY/edit?usp=sharing"",""SEPTEMBER!B73:D91"")"),"EPUL")</f>
        <v>EPUL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IFERROR(__xludf.DUMMYFUNCTION("IMPORTRANGE(""https://docs.google.com/spreadsheets/d/17TnzcKnlaqlAyM_3lnNpgK5CAOPbscCCRVH50X8UulY/edit?usp=sharing"",""SEPTEMBER!K73:K91"")"),0.0)</f>
        <v>0</v>
      </c>
      <c r="G84" s="30">
        <v>110000.0</v>
      </c>
      <c r="H84" s="31">
        <f t="shared" ref="H84:H105" si="24">F84*G84</f>
        <v>0</v>
      </c>
      <c r="I84" s="31">
        <f t="shared" ref="I84:I105" si="25">F84*10000</f>
        <v>0</v>
      </c>
      <c r="J84" s="32" t="str">
        <f t="shared" ref="J84:J105" si="26">IF(E84="SHIFT 2",I84,"")</f>
        <v/>
      </c>
      <c r="K84" s="32"/>
      <c r="L84" s="33">
        <f t="shared" ref="L84:L105" si="27">U84*$L$83</f>
        <v>0</v>
      </c>
      <c r="M84" s="32"/>
      <c r="N84" s="32"/>
      <c r="O84" s="34">
        <f t="shared" ref="O84:O105" si="28">SUM(H84:N84)</f>
        <v>0</v>
      </c>
      <c r="P84" s="44"/>
      <c r="Q84" s="44"/>
      <c r="R84" s="37">
        <f t="shared" ref="R84:R105" si="29">SUM(P84:Q84)</f>
        <v>0</v>
      </c>
      <c r="S84" s="38">
        <f t="shared" ref="S84:S105" si="30">O84-R84</f>
        <v>0</v>
      </c>
      <c r="T84" s="39" t="str">
        <f>IFERROR(__xludf.DUMMYFUNCTION("IMPORTRANGE(""https://docs.google.com/spreadsheets/d/17TnzcKnlaqlAyM_3lnNpgK5CAOPbscCCRVH50X8UulY/edit?usp=sharing"",""SEPTEMBER!L73:L91"")"),"")</f>
        <v/>
      </c>
      <c r="U84" s="42">
        <f>IFERROR(__xludf.DUMMYFUNCTION("IMPORTRANGE(""https://docs.google.com/spreadsheets/d/17TnzcKnlaqlAyM_3lnNpgK5CAOPbscCCRVH50X8UulY/edit?usp=sharing"",""SEPTEMBER!U73:U91"")"),0.0)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IFERROR(__xludf.DUMMYFUNCTION("""COMPUTED_VALUE"""),0.0)</f>
        <v>0</v>
      </c>
      <c r="G85" s="30">
        <v>70000.0</v>
      </c>
      <c r="H85" s="31">
        <f t="shared" si="24"/>
        <v>0</v>
      </c>
      <c r="I85" s="31">
        <f t="shared" si="25"/>
        <v>0</v>
      </c>
      <c r="J85" s="32" t="str">
        <f t="shared" si="26"/>
        <v/>
      </c>
      <c r="K85" s="41"/>
      <c r="L85" s="33">
        <f t="shared" si="27"/>
        <v>0</v>
      </c>
      <c r="M85" s="41"/>
      <c r="N85" s="41"/>
      <c r="O85" s="34">
        <f t="shared" si="28"/>
        <v>0</v>
      </c>
      <c r="P85" s="44"/>
      <c r="Q85" s="44"/>
      <c r="R85" s="37">
        <f t="shared" si="29"/>
        <v>0</v>
      </c>
      <c r="S85" s="38">
        <f t="shared" si="30"/>
        <v>0</v>
      </c>
      <c r="T85" s="39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/>
      <c r="D86" s="27" t="str">
        <f>IFERROR(__xludf.DUMMYFUNCTION("""COMPUTED_VALUE"""),"ADMIN")</f>
        <v>ADMIN</v>
      </c>
      <c r="E86" s="28"/>
      <c r="F86" s="52">
        <f>IFERROR(__xludf.DUMMYFUNCTION("""COMPUTED_VALUE"""),0.0)</f>
        <v>0</v>
      </c>
      <c r="G86" s="30">
        <v>70000.0</v>
      </c>
      <c r="H86" s="31">
        <f t="shared" si="24"/>
        <v>0</v>
      </c>
      <c r="I86" s="31">
        <f t="shared" si="25"/>
        <v>0</v>
      </c>
      <c r="J86" s="32" t="str">
        <f t="shared" si="26"/>
        <v/>
      </c>
      <c r="K86" s="41"/>
      <c r="L86" s="33">
        <f t="shared" si="27"/>
        <v>0</v>
      </c>
      <c r="M86" s="41"/>
      <c r="N86" s="41"/>
      <c r="O86" s="34">
        <f t="shared" si="28"/>
        <v>0</v>
      </c>
      <c r="P86" s="44"/>
      <c r="Q86" s="44"/>
      <c r="R86" s="37">
        <f t="shared" si="29"/>
        <v>0</v>
      </c>
      <c r="S86" s="38">
        <f t="shared" si="30"/>
        <v>0</v>
      </c>
      <c r="T86" s="39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IFERROR(__xludf.DUMMYFUNCTION("""COMPUTED_VALUE"""),"ANDRI")</f>
        <v>ANDRI</v>
      </c>
      <c r="D87" s="27" t="str">
        <f>IFERROR(__xludf.DUMMYFUNCTION("""COMPUTED_VALUE"""),"DESIGN BORDIR")</f>
        <v>DESIGN BORDIR</v>
      </c>
      <c r="E87" s="28"/>
      <c r="F87" s="52">
        <f>IFERROR(__xludf.DUMMYFUNCTION("""COMPUTED_VALUE"""),0.0)</f>
        <v>0</v>
      </c>
      <c r="G87" s="30">
        <v>70000.0</v>
      </c>
      <c r="H87" s="31">
        <f t="shared" si="24"/>
        <v>0</v>
      </c>
      <c r="I87" s="31">
        <f t="shared" si="25"/>
        <v>0</v>
      </c>
      <c r="J87" s="32" t="str">
        <f t="shared" si="26"/>
        <v/>
      </c>
      <c r="K87" s="32"/>
      <c r="L87" s="33">
        <f t="shared" si="27"/>
        <v>0</v>
      </c>
      <c r="M87" s="32"/>
      <c r="N87" s="32"/>
      <c r="O87" s="34">
        <f t="shared" si="28"/>
        <v>0</v>
      </c>
      <c r="P87" s="44"/>
      <c r="Q87" s="44"/>
      <c r="R87" s="37">
        <f t="shared" si="29"/>
        <v>0</v>
      </c>
      <c r="S87" s="38">
        <f t="shared" si="30"/>
        <v>0</v>
      </c>
      <c r="T87" s="39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IFERROR(__xludf.DUMMYFUNCTION("""COMPUTED_VALUE"""),"ADIT")</f>
        <v>ADIT</v>
      </c>
      <c r="D88" s="27" t="str">
        <f>IFERROR(__xludf.DUMMYFUNCTION("""COMPUTED_VALUE"""),"CREATOR")</f>
        <v>CREATOR</v>
      </c>
      <c r="E88" s="28"/>
      <c r="F88" s="52">
        <f>IFERROR(__xludf.DUMMYFUNCTION("""COMPUTED_VALUE"""),0.0)</f>
        <v>0</v>
      </c>
      <c r="G88" s="30">
        <v>50000.0</v>
      </c>
      <c r="H88" s="31">
        <f t="shared" si="24"/>
        <v>0</v>
      </c>
      <c r="I88" s="31">
        <f t="shared" si="25"/>
        <v>0</v>
      </c>
      <c r="J88" s="32" t="str">
        <f t="shared" si="26"/>
        <v/>
      </c>
      <c r="K88" s="32"/>
      <c r="L88" s="33">
        <f t="shared" si="27"/>
        <v>0</v>
      </c>
      <c r="M88" s="32"/>
      <c r="N88" s="32"/>
      <c r="O88" s="34">
        <f t="shared" si="28"/>
        <v>0</v>
      </c>
      <c r="P88" s="44"/>
      <c r="Q88" s="44"/>
      <c r="R88" s="37">
        <f t="shared" si="29"/>
        <v>0</v>
      </c>
      <c r="S88" s="38">
        <f t="shared" si="30"/>
        <v>0</v>
      </c>
      <c r="T88" s="39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IFERROR(__xludf.DUMMYFUNCTION("""COMPUTED_VALUE"""),0.0)</f>
        <v>0</v>
      </c>
      <c r="G89" s="30">
        <v>70000.0</v>
      </c>
      <c r="H89" s="31">
        <f t="shared" si="24"/>
        <v>0</v>
      </c>
      <c r="I89" s="31">
        <f t="shared" si="25"/>
        <v>0</v>
      </c>
      <c r="J89" s="32" t="str">
        <f t="shared" si="26"/>
        <v/>
      </c>
      <c r="K89" s="32"/>
      <c r="L89" s="33">
        <f t="shared" si="27"/>
        <v>0</v>
      </c>
      <c r="M89" s="32"/>
      <c r="N89" s="32"/>
      <c r="O89" s="34">
        <f t="shared" si="28"/>
        <v>0</v>
      </c>
      <c r="P89" s="44"/>
      <c r="Q89" s="44"/>
      <c r="R89" s="37">
        <f t="shared" si="29"/>
        <v>0</v>
      </c>
      <c r="S89" s="38">
        <f t="shared" si="30"/>
        <v>0</v>
      </c>
      <c r="T89" s="39"/>
      <c r="U89" s="42">
        <f>IFERROR(__xludf.DUMMYFUNCTION("""COMPUTED_VALUE"""),0.0)</f>
        <v>0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IFERROR(__xludf.DUMMYFUNCTION("""COMPUTED_VALUE"""),0.0)</f>
        <v>0</v>
      </c>
      <c r="G90" s="30">
        <v>70000.0</v>
      </c>
      <c r="H90" s="31">
        <f t="shared" si="24"/>
        <v>0</v>
      </c>
      <c r="I90" s="31">
        <f t="shared" si="25"/>
        <v>0</v>
      </c>
      <c r="J90" s="32" t="str">
        <f t="shared" si="26"/>
        <v/>
      </c>
      <c r="K90" s="32"/>
      <c r="L90" s="33">
        <f t="shared" si="27"/>
        <v>0</v>
      </c>
      <c r="M90" s="32"/>
      <c r="N90" s="32"/>
      <c r="O90" s="34">
        <f t="shared" si="28"/>
        <v>0</v>
      </c>
      <c r="P90" s="44"/>
      <c r="Q90" s="44"/>
      <c r="R90" s="37">
        <f t="shared" si="29"/>
        <v>0</v>
      </c>
      <c r="S90" s="38">
        <f t="shared" si="30"/>
        <v>0</v>
      </c>
      <c r="T90" s="39"/>
      <c r="U90" s="42">
        <f>IFERROR(__xludf.DUMMYFUNCTION("""COMPUTED_VALUE"""),0.0)</f>
        <v>0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IFERROR(__xludf.DUMMYFUNCTION("""COMPUTED_VALUE"""),0.0)</f>
        <v>0</v>
      </c>
      <c r="G91" s="30">
        <v>50000.0</v>
      </c>
      <c r="H91" s="31">
        <f t="shared" si="24"/>
        <v>0</v>
      </c>
      <c r="I91" s="31">
        <f t="shared" si="25"/>
        <v>0</v>
      </c>
      <c r="J91" s="32" t="str">
        <f t="shared" si="26"/>
        <v/>
      </c>
      <c r="K91" s="32"/>
      <c r="L91" s="33">
        <f t="shared" si="27"/>
        <v>0</v>
      </c>
      <c r="M91" s="32"/>
      <c r="N91" s="32"/>
      <c r="O91" s="34">
        <f t="shared" si="28"/>
        <v>0</v>
      </c>
      <c r="P91" s="44"/>
      <c r="Q91" s="44"/>
      <c r="R91" s="37">
        <f t="shared" si="29"/>
        <v>0</v>
      </c>
      <c r="S91" s="38">
        <f t="shared" si="30"/>
        <v>0</v>
      </c>
      <c r="T91" s="39"/>
      <c r="U91" s="42">
        <f>IFERROR(__xludf.DUMMYFUNCTION("""COMPUTED_VALUE"""),0.0)</f>
        <v>0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/>
      <c r="F92" s="52">
        <f>IFERROR(__xludf.DUMMYFUNCTION("""COMPUTED_VALUE"""),0.0)</f>
        <v>0</v>
      </c>
      <c r="G92" s="30">
        <v>50000.0</v>
      </c>
      <c r="H92" s="31">
        <f t="shared" si="24"/>
        <v>0</v>
      </c>
      <c r="I92" s="31">
        <f t="shared" si="25"/>
        <v>0</v>
      </c>
      <c r="J92" s="32" t="str">
        <f t="shared" si="26"/>
        <v/>
      </c>
      <c r="K92" s="32"/>
      <c r="L92" s="33">
        <f t="shared" si="27"/>
        <v>0</v>
      </c>
      <c r="M92" s="32"/>
      <c r="N92" s="32"/>
      <c r="O92" s="34">
        <f t="shared" si="28"/>
        <v>0</v>
      </c>
      <c r="P92" s="44"/>
      <c r="Q92" s="44"/>
      <c r="R92" s="37">
        <f t="shared" si="29"/>
        <v>0</v>
      </c>
      <c r="S92" s="38">
        <f t="shared" si="30"/>
        <v>0</v>
      </c>
      <c r="T92" s="39"/>
      <c r="U92" s="42">
        <f>IFERROR(__xludf.DUMMYFUNCTION("""COMPUTED_VALUE"""),0.0)</f>
        <v>0</v>
      </c>
    </row>
    <row r="93" ht="37.5" customHeight="1">
      <c r="B93" s="25">
        <v>10.0</v>
      </c>
      <c r="C93" s="49" t="str">
        <f>IFERROR(__xludf.DUMMYFUNCTION("""COMPUTED_VALUE"""),"IIS")</f>
        <v>IIS</v>
      </c>
      <c r="D93" s="27" t="str">
        <f>IFERROR(__xludf.DUMMYFUNCTION("""COMPUTED_VALUE"""),"PACKING")</f>
        <v>PACKING</v>
      </c>
      <c r="E93" s="51"/>
      <c r="F93" s="52">
        <f>IFERROR(__xludf.DUMMYFUNCTION("""COMPUTED_VALUE"""),0.0)</f>
        <v>0</v>
      </c>
      <c r="G93" s="45"/>
      <c r="H93" s="31">
        <f t="shared" si="24"/>
        <v>0</v>
      </c>
      <c r="I93" s="31">
        <f t="shared" si="25"/>
        <v>0</v>
      </c>
      <c r="J93" s="32" t="str">
        <f t="shared" si="26"/>
        <v/>
      </c>
      <c r="K93" s="32"/>
      <c r="L93" s="33">
        <f t="shared" si="27"/>
        <v>0</v>
      </c>
      <c r="M93" s="32"/>
      <c r="N93" s="32"/>
      <c r="O93" s="34">
        <f t="shared" si="28"/>
        <v>0</v>
      </c>
      <c r="P93" s="44"/>
      <c r="Q93" s="44"/>
      <c r="R93" s="37">
        <f t="shared" si="29"/>
        <v>0</v>
      </c>
      <c r="S93" s="38">
        <f t="shared" si="30"/>
        <v>0</v>
      </c>
      <c r="T93" s="39"/>
      <c r="U93" s="42">
        <f>IFERROR(__xludf.DUMMYFUNCTION("""COMPUTED_VALUE"""),0.0)</f>
        <v>0</v>
      </c>
    </row>
    <row r="94" ht="37.5" customHeight="1">
      <c r="B94" s="25">
        <v>11.0</v>
      </c>
      <c r="C94" s="49"/>
      <c r="D94" s="50"/>
      <c r="E94" s="51"/>
      <c r="F94" s="52">
        <f>IFERROR(__xludf.DUMMYFUNCTION("""COMPUTED_VALUE"""),0.0)</f>
        <v>0</v>
      </c>
      <c r="G94" s="45"/>
      <c r="H94" s="31">
        <f t="shared" si="24"/>
        <v>0</v>
      </c>
      <c r="I94" s="31">
        <f t="shared" si="25"/>
        <v>0</v>
      </c>
      <c r="J94" s="32" t="str">
        <f t="shared" si="26"/>
        <v/>
      </c>
      <c r="K94" s="32"/>
      <c r="L94" s="33">
        <f t="shared" si="27"/>
        <v>0</v>
      </c>
      <c r="M94" s="32"/>
      <c r="N94" s="32"/>
      <c r="O94" s="34">
        <f t="shared" si="28"/>
        <v>0</v>
      </c>
      <c r="P94" s="44"/>
      <c r="Q94" s="44"/>
      <c r="R94" s="37">
        <f t="shared" si="29"/>
        <v>0</v>
      </c>
      <c r="S94" s="38">
        <f t="shared" si="30"/>
        <v>0</v>
      </c>
      <c r="T94" s="39"/>
      <c r="U94" s="42">
        <f>IFERROR(__xludf.DUMMYFUNCTION("""COMPUTED_VALUE"""),0.0)</f>
        <v>0</v>
      </c>
    </row>
    <row r="95" ht="37.5" customHeight="1">
      <c r="B95" s="25">
        <v>12.0</v>
      </c>
      <c r="C95" s="49"/>
      <c r="D95" s="50"/>
      <c r="E95" s="51"/>
      <c r="F95" s="52">
        <f>IFERROR(__xludf.DUMMYFUNCTION("""COMPUTED_VALUE"""),0.0)</f>
        <v>0</v>
      </c>
      <c r="G95" s="45"/>
      <c r="H95" s="31">
        <f t="shared" si="24"/>
        <v>0</v>
      </c>
      <c r="I95" s="31">
        <f t="shared" si="25"/>
        <v>0</v>
      </c>
      <c r="J95" s="32" t="str">
        <f t="shared" si="26"/>
        <v/>
      </c>
      <c r="K95" s="32"/>
      <c r="L95" s="33">
        <f t="shared" si="27"/>
        <v>0</v>
      </c>
      <c r="M95" s="32"/>
      <c r="N95" s="32"/>
      <c r="O95" s="34">
        <f t="shared" si="28"/>
        <v>0</v>
      </c>
      <c r="P95" s="44"/>
      <c r="Q95" s="44"/>
      <c r="R95" s="37">
        <f t="shared" si="29"/>
        <v>0</v>
      </c>
      <c r="S95" s="38">
        <f t="shared" si="30"/>
        <v>0</v>
      </c>
      <c r="T95" s="39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51"/>
      <c r="F96" s="52">
        <f>IFERROR(__xludf.DUMMYFUNCTION("""COMPUTED_VALUE"""),0.0)</f>
        <v>0</v>
      </c>
      <c r="G96" s="45"/>
      <c r="H96" s="31">
        <f t="shared" si="24"/>
        <v>0</v>
      </c>
      <c r="I96" s="31">
        <f t="shared" si="25"/>
        <v>0</v>
      </c>
      <c r="J96" s="32" t="str">
        <f t="shared" si="26"/>
        <v/>
      </c>
      <c r="K96" s="32"/>
      <c r="L96" s="33">
        <f t="shared" si="27"/>
        <v>0</v>
      </c>
      <c r="M96" s="32"/>
      <c r="N96" s="32"/>
      <c r="O96" s="34">
        <f t="shared" si="28"/>
        <v>0</v>
      </c>
      <c r="P96" s="44"/>
      <c r="Q96" s="44"/>
      <c r="R96" s="37">
        <f t="shared" si="29"/>
        <v>0</v>
      </c>
      <c r="S96" s="38">
        <f t="shared" si="30"/>
        <v>0</v>
      </c>
      <c r="T96" s="39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51"/>
      <c r="F97" s="52">
        <f>IFERROR(__xludf.DUMMYFUNCTION("""COMPUTED_VALUE"""),0.0)</f>
        <v>0</v>
      </c>
      <c r="G97" s="45"/>
      <c r="H97" s="31">
        <f t="shared" si="24"/>
        <v>0</v>
      </c>
      <c r="I97" s="31">
        <f t="shared" si="25"/>
        <v>0</v>
      </c>
      <c r="J97" s="32" t="str">
        <f t="shared" si="26"/>
        <v/>
      </c>
      <c r="K97" s="32"/>
      <c r="L97" s="33">
        <f t="shared" si="27"/>
        <v>0</v>
      </c>
      <c r="M97" s="32"/>
      <c r="N97" s="32"/>
      <c r="O97" s="34">
        <f t="shared" si="28"/>
        <v>0</v>
      </c>
      <c r="P97" s="44"/>
      <c r="Q97" s="44"/>
      <c r="R97" s="37">
        <f t="shared" si="29"/>
        <v>0</v>
      </c>
      <c r="S97" s="38">
        <f t="shared" si="30"/>
        <v>0</v>
      </c>
      <c r="T97" s="39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0"/>
      <c r="E98" s="51"/>
      <c r="F98" s="52">
        <f>IFERROR(__xludf.DUMMYFUNCTION("""COMPUTED_VALUE"""),0.0)</f>
        <v>0</v>
      </c>
      <c r="G98" s="45"/>
      <c r="H98" s="31">
        <f t="shared" si="24"/>
        <v>0</v>
      </c>
      <c r="I98" s="31">
        <f t="shared" si="25"/>
        <v>0</v>
      </c>
      <c r="J98" s="32" t="str">
        <f t="shared" si="26"/>
        <v/>
      </c>
      <c r="K98" s="32"/>
      <c r="L98" s="33">
        <f t="shared" si="27"/>
        <v>0</v>
      </c>
      <c r="M98" s="32"/>
      <c r="N98" s="32"/>
      <c r="O98" s="34">
        <f t="shared" si="28"/>
        <v>0</v>
      </c>
      <c r="P98" s="44"/>
      <c r="Q98" s="44"/>
      <c r="R98" s="37">
        <f t="shared" si="29"/>
        <v>0</v>
      </c>
      <c r="S98" s="38">
        <f t="shared" si="30"/>
        <v>0</v>
      </c>
      <c r="T98" s="39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4"/>
        <v>0</v>
      </c>
      <c r="I99" s="31">
        <f t="shared" si="25"/>
        <v>0</v>
      </c>
      <c r="J99" s="32" t="str">
        <f t="shared" si="26"/>
        <v/>
      </c>
      <c r="K99" s="32"/>
      <c r="L99" s="33">
        <f t="shared" si="27"/>
        <v>0</v>
      </c>
      <c r="M99" s="32"/>
      <c r="N99" s="32"/>
      <c r="O99" s="34">
        <f t="shared" si="28"/>
        <v>0</v>
      </c>
      <c r="P99" s="44"/>
      <c r="Q99" s="44"/>
      <c r="R99" s="37">
        <f t="shared" si="29"/>
        <v>0</v>
      </c>
      <c r="S99" s="38">
        <f t="shared" si="30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4"/>
        <v>0</v>
      </c>
      <c r="I100" s="31">
        <f t="shared" si="25"/>
        <v>0</v>
      </c>
      <c r="J100" s="32" t="str">
        <f t="shared" si="26"/>
        <v/>
      </c>
      <c r="K100" s="32"/>
      <c r="L100" s="33">
        <f t="shared" si="27"/>
        <v>0</v>
      </c>
      <c r="M100" s="32"/>
      <c r="N100" s="32"/>
      <c r="O100" s="34">
        <f t="shared" si="28"/>
        <v>0</v>
      </c>
      <c r="P100" s="44"/>
      <c r="Q100" s="44"/>
      <c r="R100" s="37">
        <f t="shared" si="29"/>
        <v>0</v>
      </c>
      <c r="S100" s="38">
        <f t="shared" si="30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4"/>
        <v>0</v>
      </c>
      <c r="I101" s="31">
        <f t="shared" si="25"/>
        <v>0</v>
      </c>
      <c r="J101" s="32" t="str">
        <f t="shared" si="26"/>
        <v/>
      </c>
      <c r="K101" s="32"/>
      <c r="L101" s="33">
        <f t="shared" si="27"/>
        <v>0</v>
      </c>
      <c r="M101" s="32"/>
      <c r="N101" s="32"/>
      <c r="O101" s="34">
        <f t="shared" si="28"/>
        <v>0</v>
      </c>
      <c r="P101" s="44"/>
      <c r="Q101" s="44"/>
      <c r="R101" s="37">
        <f t="shared" si="29"/>
        <v>0</v>
      </c>
      <c r="S101" s="38">
        <f t="shared" si="30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4"/>
        <v>0</v>
      </c>
      <c r="I102" s="31">
        <f t="shared" si="25"/>
        <v>0</v>
      </c>
      <c r="J102" s="32" t="str">
        <f t="shared" si="26"/>
        <v/>
      </c>
      <c r="K102" s="32"/>
      <c r="L102" s="33">
        <f t="shared" si="27"/>
        <v>0</v>
      </c>
      <c r="M102" s="32"/>
      <c r="N102" s="32"/>
      <c r="O102" s="34">
        <f t="shared" si="28"/>
        <v>0</v>
      </c>
      <c r="P102" s="44"/>
      <c r="Q102" s="44"/>
      <c r="R102" s="37">
        <f t="shared" si="29"/>
        <v>0</v>
      </c>
      <c r="S102" s="38">
        <f t="shared" si="30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4"/>
        <v>0</v>
      </c>
      <c r="I103" s="31">
        <f t="shared" si="25"/>
        <v>0</v>
      </c>
      <c r="J103" s="32" t="str">
        <f t="shared" si="26"/>
        <v/>
      </c>
      <c r="K103" s="32"/>
      <c r="L103" s="33">
        <f t="shared" si="27"/>
        <v>0</v>
      </c>
      <c r="M103" s="32"/>
      <c r="N103" s="32"/>
      <c r="O103" s="34">
        <f t="shared" si="28"/>
        <v>0</v>
      </c>
      <c r="P103" s="44"/>
      <c r="Q103" s="44"/>
      <c r="R103" s="37">
        <f t="shared" si="29"/>
        <v>0</v>
      </c>
      <c r="S103" s="38">
        <f t="shared" si="30"/>
        <v>0</v>
      </c>
      <c r="T103" s="51"/>
      <c r="U103" s="42"/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4"/>
        <v>0</v>
      </c>
      <c r="I104" s="31">
        <f t="shared" si="25"/>
        <v>0</v>
      </c>
      <c r="J104" s="32" t="str">
        <f t="shared" si="26"/>
        <v/>
      </c>
      <c r="K104" s="32"/>
      <c r="L104" s="33">
        <f t="shared" si="27"/>
        <v>0</v>
      </c>
      <c r="M104" s="32"/>
      <c r="N104" s="32"/>
      <c r="O104" s="34">
        <f t="shared" si="28"/>
        <v>0</v>
      </c>
      <c r="P104" s="44"/>
      <c r="Q104" s="44"/>
      <c r="R104" s="37">
        <f t="shared" si="29"/>
        <v>0</v>
      </c>
      <c r="S104" s="38">
        <f t="shared" si="30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4"/>
        <v>0</v>
      </c>
      <c r="I105" s="31">
        <f t="shared" si="25"/>
        <v>0</v>
      </c>
      <c r="J105" s="32" t="str">
        <f t="shared" si="26"/>
        <v/>
      </c>
      <c r="K105" s="32"/>
      <c r="L105" s="33">
        <f t="shared" si="27"/>
        <v>0</v>
      </c>
      <c r="M105" s="32"/>
      <c r="N105" s="32"/>
      <c r="O105" s="34">
        <f t="shared" si="28"/>
        <v>0</v>
      </c>
      <c r="P105" s="44"/>
      <c r="Q105" s="44"/>
      <c r="R105" s="37">
        <f t="shared" si="29"/>
        <v>0</v>
      </c>
      <c r="S105" s="38">
        <f t="shared" si="30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0</v>
      </c>
      <c r="T106" s="57"/>
      <c r="U106" s="58"/>
    </row>
    <row r="107" ht="37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IFERROR(__xludf.DUMMYFUNCTION("IMPORTRANGE(""https://docs.google.com/spreadsheets/d/17TnzcKnlaqlAyM_3lnNpgK5CAOPbscCCRVH50X8UulY/edit?usp=sharing"",""SEPTEMBER!B94"")"),"TANGGAL : 28-30 SEPTEMBER 2026")</f>
        <v>TANGGAL : 28-30 SEPTEMBER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IFERROR(__xludf.DUMMYFUNCTION("IMPORTRANGE(""https://docs.google.com/spreadsheets/d/17TnzcKnlaqlAyM_3lnNpgK5CAOPbscCCRVH50X8UulY/edit?usp=sharing"",""SEPTEMBER!B95:D113"")"),"EPUL")</f>
        <v>EPUL</v>
      </c>
      <c r="D109" s="27" t="str">
        <f>IFERROR(__xludf.DUMMYFUNCTION("""COMPUTED_VALUE"""),"KEPALA")</f>
        <v>KEPALA</v>
      </c>
      <c r="E109" s="28"/>
      <c r="F109" s="52">
        <f>IFERROR(__xludf.DUMMYFUNCTION("IMPORTRANGE(""https://docs.google.com/spreadsheets/d/17TnzcKnlaqlAyM_3lnNpgK5CAOPbscCCRVH50X8UulY/edit?usp=sharing"",""SEPTEMBER!K95:K113"")"),0.0)</f>
        <v>0</v>
      </c>
      <c r="G109" s="30">
        <v>110000.0</v>
      </c>
      <c r="H109" s="31">
        <f t="shared" ref="H109:H130" si="31">F109*G109</f>
        <v>0</v>
      </c>
      <c r="I109" s="31">
        <f t="shared" ref="I109:I130" si="32">F109*10000</f>
        <v>0</v>
      </c>
      <c r="J109" s="32" t="str">
        <f t="shared" ref="J109:J130" si="33">IF(E109="SHIFT 2",I109,"")</f>
        <v/>
      </c>
      <c r="K109" s="32"/>
      <c r="L109" s="33">
        <f t="shared" ref="L109:L130" si="34">U109*$L$108</f>
        <v>0</v>
      </c>
      <c r="M109" s="32"/>
      <c r="N109" s="32"/>
      <c r="O109" s="34">
        <f t="shared" ref="O109:O130" si="35">SUM(H109:N109)</f>
        <v>0</v>
      </c>
      <c r="P109" s="147"/>
      <c r="Q109" s="148"/>
      <c r="R109" s="37">
        <f t="shared" ref="R109:R130" si="36">SUM(P109:Q109)</f>
        <v>0</v>
      </c>
      <c r="S109" s="38">
        <f t="shared" ref="S109:S130" si="37">O109-R109</f>
        <v>0</v>
      </c>
      <c r="T109" s="39" t="str">
        <f>IFERROR(__xludf.DUMMYFUNCTION("IMPORTRANGE(""https://docs.google.com/spreadsheets/d/17TnzcKnlaqlAyM_3lnNpgK5CAOPbscCCRVH50X8UulY/edit?usp=sharing"",""SEPTEMBER!L95:L113"")"),"")</f>
        <v/>
      </c>
      <c r="U109" s="42">
        <f>IFERROR(__xludf.DUMMYFUNCTION("IMPORTRANGE(""https://docs.google.com/spreadsheets/d/17TnzcKnlaqlAyM_3lnNpgK5CAOPbscCCRVH50X8UulY/edit?usp=sharing"",""SEPTEMBER!U95:U113"")"),0.0)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/>
      <c r="F110" s="52">
        <f>IFERROR(__xludf.DUMMYFUNCTION("""COMPUTED_VALUE"""),0.0)</f>
        <v>0</v>
      </c>
      <c r="G110" s="30">
        <v>70000.0</v>
      </c>
      <c r="H110" s="31">
        <f t="shared" si="31"/>
        <v>0</v>
      </c>
      <c r="I110" s="31">
        <f t="shared" si="32"/>
        <v>0</v>
      </c>
      <c r="J110" s="32" t="str">
        <f t="shared" si="33"/>
        <v/>
      </c>
      <c r="K110" s="41"/>
      <c r="L110" s="33">
        <f t="shared" si="34"/>
        <v>0</v>
      </c>
      <c r="M110" s="41"/>
      <c r="N110" s="41"/>
      <c r="O110" s="34">
        <f t="shared" si="35"/>
        <v>0</v>
      </c>
      <c r="P110" s="148"/>
      <c r="Q110" s="148"/>
      <c r="R110" s="37">
        <f t="shared" si="36"/>
        <v>0</v>
      </c>
      <c r="S110" s="38">
        <f t="shared" si="37"/>
        <v>0</v>
      </c>
      <c r="T110" s="39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/>
      <c r="D111" s="27" t="str">
        <f>IFERROR(__xludf.DUMMYFUNCTION("""COMPUTED_VALUE"""),"ADMIN")</f>
        <v>ADMIN</v>
      </c>
      <c r="E111" s="28"/>
      <c r="F111" s="52">
        <f>IFERROR(__xludf.DUMMYFUNCTION("""COMPUTED_VALUE"""),0.0)</f>
        <v>0</v>
      </c>
      <c r="G111" s="30">
        <v>70000.0</v>
      </c>
      <c r="H111" s="31">
        <f t="shared" si="31"/>
        <v>0</v>
      </c>
      <c r="I111" s="31">
        <f t="shared" si="32"/>
        <v>0</v>
      </c>
      <c r="J111" s="32" t="str">
        <f t="shared" si="33"/>
        <v/>
      </c>
      <c r="K111" s="41"/>
      <c r="L111" s="33">
        <f t="shared" si="34"/>
        <v>0</v>
      </c>
      <c r="M111" s="41"/>
      <c r="N111" s="41"/>
      <c r="O111" s="34">
        <f t="shared" si="35"/>
        <v>0</v>
      </c>
      <c r="P111" s="148"/>
      <c r="Q111" s="148"/>
      <c r="R111" s="37">
        <f t="shared" si="36"/>
        <v>0</v>
      </c>
      <c r="S111" s="38">
        <f t="shared" si="37"/>
        <v>0</v>
      </c>
      <c r="T111" s="39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IFERROR(__xludf.DUMMYFUNCTION("""COMPUTED_VALUE"""),"ANDRI")</f>
        <v>ANDRI</v>
      </c>
      <c r="D112" s="27" t="str">
        <f>IFERROR(__xludf.DUMMYFUNCTION("""COMPUTED_VALUE"""),"DESIGN BORDIR")</f>
        <v>DESIGN BORDIR</v>
      </c>
      <c r="E112" s="28"/>
      <c r="F112" s="52">
        <f>IFERROR(__xludf.DUMMYFUNCTION("""COMPUTED_VALUE"""),0.0)</f>
        <v>0</v>
      </c>
      <c r="G112" s="30">
        <v>70000.0</v>
      </c>
      <c r="H112" s="31">
        <f t="shared" si="31"/>
        <v>0</v>
      </c>
      <c r="I112" s="31">
        <f t="shared" si="32"/>
        <v>0</v>
      </c>
      <c r="J112" s="32" t="str">
        <f t="shared" si="33"/>
        <v/>
      </c>
      <c r="K112" s="32"/>
      <c r="L112" s="33">
        <f t="shared" si="34"/>
        <v>0</v>
      </c>
      <c r="M112" s="32"/>
      <c r="N112" s="32"/>
      <c r="O112" s="34">
        <f t="shared" si="35"/>
        <v>0</v>
      </c>
      <c r="P112" s="148"/>
      <c r="Q112" s="148"/>
      <c r="R112" s="37">
        <f t="shared" si="36"/>
        <v>0</v>
      </c>
      <c r="S112" s="38">
        <f t="shared" si="37"/>
        <v>0</v>
      </c>
      <c r="T112" s="39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IFERROR(__xludf.DUMMYFUNCTION("""COMPUTED_VALUE"""),"ADIT")</f>
        <v>ADIT</v>
      </c>
      <c r="D113" s="27" t="str">
        <f>IFERROR(__xludf.DUMMYFUNCTION("""COMPUTED_VALUE"""),"CREATOR")</f>
        <v>CREATOR</v>
      </c>
      <c r="E113" s="28"/>
      <c r="F113" s="52">
        <f>IFERROR(__xludf.DUMMYFUNCTION("""COMPUTED_VALUE"""),0.0)</f>
        <v>0</v>
      </c>
      <c r="G113" s="30">
        <v>50000.0</v>
      </c>
      <c r="H113" s="31">
        <f t="shared" si="31"/>
        <v>0</v>
      </c>
      <c r="I113" s="31">
        <f t="shared" si="32"/>
        <v>0</v>
      </c>
      <c r="J113" s="32" t="str">
        <f t="shared" si="33"/>
        <v/>
      </c>
      <c r="K113" s="32"/>
      <c r="L113" s="33">
        <f t="shared" si="34"/>
        <v>0</v>
      </c>
      <c r="M113" s="32"/>
      <c r="N113" s="32"/>
      <c r="O113" s="34">
        <f t="shared" si="35"/>
        <v>0</v>
      </c>
      <c r="P113" s="148"/>
      <c r="Q113" s="148"/>
      <c r="R113" s="37">
        <f t="shared" si="36"/>
        <v>0</v>
      </c>
      <c r="S113" s="38">
        <f t="shared" si="37"/>
        <v>0</v>
      </c>
      <c r="T113" s="39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/>
      <c r="F114" s="52">
        <f>IFERROR(__xludf.DUMMYFUNCTION("""COMPUTED_VALUE"""),0.0)</f>
        <v>0</v>
      </c>
      <c r="G114" s="30">
        <v>70000.0</v>
      </c>
      <c r="H114" s="31">
        <f t="shared" si="31"/>
        <v>0</v>
      </c>
      <c r="I114" s="31">
        <f t="shared" si="32"/>
        <v>0</v>
      </c>
      <c r="J114" s="32" t="str">
        <f t="shared" si="33"/>
        <v/>
      </c>
      <c r="K114" s="32"/>
      <c r="L114" s="33">
        <f t="shared" si="34"/>
        <v>0</v>
      </c>
      <c r="M114" s="32"/>
      <c r="N114" s="32"/>
      <c r="O114" s="34">
        <f t="shared" si="35"/>
        <v>0</v>
      </c>
      <c r="P114" s="148"/>
      <c r="Q114" s="148"/>
      <c r="R114" s="37">
        <f t="shared" si="36"/>
        <v>0</v>
      </c>
      <c r="S114" s="38">
        <f t="shared" si="37"/>
        <v>0</v>
      </c>
      <c r="T114" s="39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/>
      <c r="F115" s="52">
        <f>IFERROR(__xludf.DUMMYFUNCTION("""COMPUTED_VALUE"""),0.0)</f>
        <v>0</v>
      </c>
      <c r="G115" s="30">
        <v>70000.0</v>
      </c>
      <c r="H115" s="31">
        <f t="shared" si="31"/>
        <v>0</v>
      </c>
      <c r="I115" s="31">
        <f t="shared" si="32"/>
        <v>0</v>
      </c>
      <c r="J115" s="32" t="str">
        <f t="shared" si="33"/>
        <v/>
      </c>
      <c r="K115" s="32"/>
      <c r="L115" s="33">
        <f t="shared" si="34"/>
        <v>0</v>
      </c>
      <c r="M115" s="32"/>
      <c r="N115" s="32"/>
      <c r="O115" s="34">
        <f t="shared" si="35"/>
        <v>0</v>
      </c>
      <c r="P115" s="147"/>
      <c r="Q115" s="148"/>
      <c r="R115" s="37">
        <f t="shared" si="36"/>
        <v>0</v>
      </c>
      <c r="S115" s="38">
        <f t="shared" si="37"/>
        <v>0</v>
      </c>
      <c r="T115" s="39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/>
      <c r="F116" s="52">
        <f>IFERROR(__xludf.DUMMYFUNCTION("""COMPUTED_VALUE"""),0.0)</f>
        <v>0</v>
      </c>
      <c r="G116" s="30">
        <v>50000.0</v>
      </c>
      <c r="H116" s="31">
        <f t="shared" si="31"/>
        <v>0</v>
      </c>
      <c r="I116" s="31">
        <f t="shared" si="32"/>
        <v>0</v>
      </c>
      <c r="J116" s="32" t="str">
        <f t="shared" si="33"/>
        <v/>
      </c>
      <c r="K116" s="32"/>
      <c r="L116" s="33">
        <f t="shared" si="34"/>
        <v>0</v>
      </c>
      <c r="M116" s="32"/>
      <c r="N116" s="32"/>
      <c r="O116" s="34">
        <f t="shared" si="35"/>
        <v>0</v>
      </c>
      <c r="P116" s="148"/>
      <c r="Q116" s="148"/>
      <c r="R116" s="37">
        <f t="shared" si="36"/>
        <v>0</v>
      </c>
      <c r="S116" s="38">
        <f t="shared" si="37"/>
        <v>0</v>
      </c>
      <c r="T116" s="39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/>
      <c r="F117" s="52">
        <f>IFERROR(__xludf.DUMMYFUNCTION("""COMPUTED_VALUE"""),0.0)</f>
        <v>0</v>
      </c>
      <c r="G117" s="30">
        <v>50000.0</v>
      </c>
      <c r="H117" s="31">
        <f t="shared" si="31"/>
        <v>0</v>
      </c>
      <c r="I117" s="31">
        <f t="shared" si="32"/>
        <v>0</v>
      </c>
      <c r="J117" s="32" t="str">
        <f t="shared" si="33"/>
        <v/>
      </c>
      <c r="K117" s="32"/>
      <c r="L117" s="33">
        <f t="shared" si="34"/>
        <v>0</v>
      </c>
      <c r="M117" s="32"/>
      <c r="N117" s="32"/>
      <c r="O117" s="34">
        <f t="shared" si="35"/>
        <v>0</v>
      </c>
      <c r="P117" s="148"/>
      <c r="Q117" s="148"/>
      <c r="R117" s="37">
        <f t="shared" si="36"/>
        <v>0</v>
      </c>
      <c r="S117" s="38">
        <f t="shared" si="37"/>
        <v>0</v>
      </c>
      <c r="T117" s="39"/>
      <c r="U117" s="42">
        <f>IFERROR(__xludf.DUMMYFUNCTION("""COMPUTED_VALUE"""),0.0)</f>
        <v>0</v>
      </c>
    </row>
    <row r="118" ht="37.5" customHeight="1">
      <c r="B118" s="25">
        <v>10.0</v>
      </c>
      <c r="C118" s="49" t="str">
        <f>IFERROR(__xludf.DUMMYFUNCTION("""COMPUTED_VALUE"""),"IIS")</f>
        <v>IIS</v>
      </c>
      <c r="D118" s="27" t="str">
        <f>IFERROR(__xludf.DUMMYFUNCTION("""COMPUTED_VALUE"""),"PACKING")</f>
        <v>PACKING</v>
      </c>
      <c r="E118" s="51"/>
      <c r="F118" s="52">
        <f>IFERROR(__xludf.DUMMYFUNCTION("""COMPUTED_VALUE"""),0.0)</f>
        <v>0</v>
      </c>
      <c r="G118" s="45"/>
      <c r="H118" s="31">
        <f t="shared" si="31"/>
        <v>0</v>
      </c>
      <c r="I118" s="31">
        <f t="shared" si="32"/>
        <v>0</v>
      </c>
      <c r="J118" s="32" t="str">
        <f t="shared" si="33"/>
        <v/>
      </c>
      <c r="K118" s="32"/>
      <c r="L118" s="33">
        <f t="shared" si="34"/>
        <v>0</v>
      </c>
      <c r="M118" s="32"/>
      <c r="N118" s="32"/>
      <c r="O118" s="34">
        <f t="shared" si="35"/>
        <v>0</v>
      </c>
      <c r="P118" s="44"/>
      <c r="Q118" s="44"/>
      <c r="R118" s="37">
        <f t="shared" si="36"/>
        <v>0</v>
      </c>
      <c r="S118" s="38">
        <f t="shared" si="37"/>
        <v>0</v>
      </c>
      <c r="T118" s="39"/>
      <c r="U118" s="42">
        <f>IFERROR(__xludf.DUMMYFUNCTION("""COMPUTED_VALUE"""),0.0)</f>
        <v>0</v>
      </c>
    </row>
    <row r="119" ht="37.5" customHeight="1">
      <c r="B119" s="25">
        <v>11.0</v>
      </c>
      <c r="C119" s="49"/>
      <c r="D119" s="50"/>
      <c r="E119" s="51"/>
      <c r="F119" s="52">
        <f>IFERROR(__xludf.DUMMYFUNCTION("""COMPUTED_VALUE"""),0.0)</f>
        <v>0</v>
      </c>
      <c r="G119" s="45"/>
      <c r="H119" s="31">
        <f t="shared" si="31"/>
        <v>0</v>
      </c>
      <c r="I119" s="31">
        <f t="shared" si="32"/>
        <v>0</v>
      </c>
      <c r="J119" s="32" t="str">
        <f t="shared" si="33"/>
        <v/>
      </c>
      <c r="K119" s="32"/>
      <c r="L119" s="33">
        <f t="shared" si="34"/>
        <v>0</v>
      </c>
      <c r="M119" s="32"/>
      <c r="N119" s="32"/>
      <c r="O119" s="34">
        <f t="shared" si="35"/>
        <v>0</v>
      </c>
      <c r="P119" s="44"/>
      <c r="Q119" s="44"/>
      <c r="R119" s="37">
        <f t="shared" si="36"/>
        <v>0</v>
      </c>
      <c r="S119" s="38">
        <f t="shared" si="37"/>
        <v>0</v>
      </c>
      <c r="T119" s="39"/>
      <c r="U119" s="42">
        <f>IFERROR(__xludf.DUMMYFUNCTION("""COMPUTED_VALUE"""),0.0)</f>
        <v>0</v>
      </c>
    </row>
    <row r="120" ht="37.5" customHeight="1">
      <c r="B120" s="25">
        <v>12.0</v>
      </c>
      <c r="C120" s="49"/>
      <c r="D120" s="50"/>
      <c r="E120" s="51"/>
      <c r="F120" s="52">
        <f>IFERROR(__xludf.DUMMYFUNCTION("""COMPUTED_VALUE"""),0.0)</f>
        <v>0</v>
      </c>
      <c r="G120" s="45"/>
      <c r="H120" s="31">
        <f t="shared" si="31"/>
        <v>0</v>
      </c>
      <c r="I120" s="31">
        <f t="shared" si="32"/>
        <v>0</v>
      </c>
      <c r="J120" s="32" t="str">
        <f t="shared" si="33"/>
        <v/>
      </c>
      <c r="K120" s="32"/>
      <c r="L120" s="33">
        <f t="shared" si="34"/>
        <v>0</v>
      </c>
      <c r="M120" s="32"/>
      <c r="N120" s="32"/>
      <c r="O120" s="34">
        <f t="shared" si="35"/>
        <v>0</v>
      </c>
      <c r="P120" s="44"/>
      <c r="Q120" s="44"/>
      <c r="R120" s="37">
        <f t="shared" si="36"/>
        <v>0</v>
      </c>
      <c r="S120" s="38">
        <f t="shared" si="37"/>
        <v>0</v>
      </c>
      <c r="T120" s="39"/>
      <c r="U120" s="42">
        <f>IFERROR(__xludf.DUMMYFUNCTION("""COMPUTED_VALUE"""),0.0)</f>
        <v>0</v>
      </c>
    </row>
    <row r="121" ht="37.5" customHeight="1">
      <c r="B121" s="25">
        <v>13.0</v>
      </c>
      <c r="C121" s="49"/>
      <c r="D121" s="50"/>
      <c r="E121" s="51"/>
      <c r="F121" s="52">
        <f>IFERROR(__xludf.DUMMYFUNCTION("""COMPUTED_VALUE"""),0.0)</f>
        <v>0</v>
      </c>
      <c r="G121" s="45"/>
      <c r="H121" s="31">
        <f t="shared" si="31"/>
        <v>0</v>
      </c>
      <c r="I121" s="31">
        <f t="shared" si="32"/>
        <v>0</v>
      </c>
      <c r="J121" s="32" t="str">
        <f t="shared" si="33"/>
        <v/>
      </c>
      <c r="K121" s="32"/>
      <c r="L121" s="33">
        <f t="shared" si="34"/>
        <v>0</v>
      </c>
      <c r="M121" s="32"/>
      <c r="N121" s="32"/>
      <c r="O121" s="34">
        <f t="shared" si="35"/>
        <v>0</v>
      </c>
      <c r="P121" s="44"/>
      <c r="Q121" s="44"/>
      <c r="R121" s="37">
        <f t="shared" si="36"/>
        <v>0</v>
      </c>
      <c r="S121" s="38">
        <f t="shared" si="37"/>
        <v>0</v>
      </c>
      <c r="T121" s="39"/>
      <c r="U121" s="42">
        <f>IFERROR(__xludf.DUMMYFUNCTION("""COMPUTED_VALUE"""),0.0)</f>
        <v>0</v>
      </c>
    </row>
    <row r="122" ht="37.5" customHeight="1">
      <c r="B122" s="25">
        <v>14.0</v>
      </c>
      <c r="C122" s="49"/>
      <c r="D122" s="50"/>
      <c r="E122" s="51"/>
      <c r="F122" s="52">
        <f>IFERROR(__xludf.DUMMYFUNCTION("""COMPUTED_VALUE"""),0.0)</f>
        <v>0</v>
      </c>
      <c r="G122" s="45"/>
      <c r="H122" s="31">
        <f t="shared" si="31"/>
        <v>0</v>
      </c>
      <c r="I122" s="31">
        <f t="shared" si="32"/>
        <v>0</v>
      </c>
      <c r="J122" s="32" t="str">
        <f t="shared" si="33"/>
        <v/>
      </c>
      <c r="K122" s="32"/>
      <c r="L122" s="33">
        <f t="shared" si="34"/>
        <v>0</v>
      </c>
      <c r="M122" s="32"/>
      <c r="N122" s="32"/>
      <c r="O122" s="34">
        <f t="shared" si="35"/>
        <v>0</v>
      </c>
      <c r="P122" s="44"/>
      <c r="Q122" s="44"/>
      <c r="R122" s="37">
        <f t="shared" si="36"/>
        <v>0</v>
      </c>
      <c r="S122" s="38">
        <f t="shared" si="37"/>
        <v>0</v>
      </c>
      <c r="T122" s="39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0"/>
      <c r="E123" s="51"/>
      <c r="F123" s="52">
        <f>IFERROR(__xludf.DUMMYFUNCTION("""COMPUTED_VALUE"""),0.0)</f>
        <v>0</v>
      </c>
      <c r="G123" s="45"/>
      <c r="H123" s="31">
        <f t="shared" si="31"/>
        <v>0</v>
      </c>
      <c r="I123" s="31">
        <f t="shared" si="32"/>
        <v>0</v>
      </c>
      <c r="J123" s="32" t="str">
        <f t="shared" si="33"/>
        <v/>
      </c>
      <c r="K123" s="32"/>
      <c r="L123" s="33">
        <f t="shared" si="34"/>
        <v>0</v>
      </c>
      <c r="M123" s="32"/>
      <c r="N123" s="32"/>
      <c r="O123" s="34">
        <f t="shared" si="35"/>
        <v>0</v>
      </c>
      <c r="P123" s="44"/>
      <c r="Q123" s="44"/>
      <c r="R123" s="37">
        <f t="shared" si="36"/>
        <v>0</v>
      </c>
      <c r="S123" s="38">
        <f t="shared" si="37"/>
        <v>0</v>
      </c>
      <c r="T123" s="39"/>
      <c r="U123" s="42">
        <f>IFERROR(__xludf.DUMMYFUNCTION("""COMPUTED_VALUE"""),0.0)</f>
        <v>0</v>
      </c>
    </row>
    <row r="124" ht="37.5" customHeight="1">
      <c r="B124" s="25">
        <v>16.0</v>
      </c>
      <c r="C124" s="49"/>
      <c r="D124" s="50"/>
      <c r="E124" s="51"/>
      <c r="F124" s="52">
        <f>IFERROR(__xludf.DUMMYFUNCTION("""COMPUTED_VALUE"""),0.0)</f>
        <v>0</v>
      </c>
      <c r="G124" s="45"/>
      <c r="H124" s="31">
        <f t="shared" si="31"/>
        <v>0</v>
      </c>
      <c r="I124" s="31">
        <f t="shared" si="32"/>
        <v>0</v>
      </c>
      <c r="J124" s="32" t="str">
        <f t="shared" si="33"/>
        <v/>
      </c>
      <c r="K124" s="32"/>
      <c r="L124" s="33">
        <f t="shared" si="34"/>
        <v>0</v>
      </c>
      <c r="M124" s="32"/>
      <c r="N124" s="32"/>
      <c r="O124" s="34">
        <f t="shared" si="35"/>
        <v>0</v>
      </c>
      <c r="P124" s="44"/>
      <c r="Q124" s="44"/>
      <c r="R124" s="37">
        <f t="shared" si="36"/>
        <v>0</v>
      </c>
      <c r="S124" s="38">
        <f t="shared" si="37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49"/>
      <c r="D125" s="50"/>
      <c r="E125" s="51"/>
      <c r="F125" s="52">
        <f>IFERROR(__xludf.DUMMYFUNCTION("""COMPUTED_VALUE"""),0.0)</f>
        <v>0</v>
      </c>
      <c r="G125" s="45"/>
      <c r="H125" s="31">
        <f t="shared" si="31"/>
        <v>0</v>
      </c>
      <c r="I125" s="31">
        <f t="shared" si="32"/>
        <v>0</v>
      </c>
      <c r="J125" s="32" t="str">
        <f t="shared" si="33"/>
        <v/>
      </c>
      <c r="K125" s="32"/>
      <c r="L125" s="33">
        <f t="shared" si="34"/>
        <v>0</v>
      </c>
      <c r="M125" s="32"/>
      <c r="N125" s="32"/>
      <c r="O125" s="34">
        <f t="shared" si="35"/>
        <v>0</v>
      </c>
      <c r="P125" s="44"/>
      <c r="Q125" s="44"/>
      <c r="R125" s="37">
        <f t="shared" si="36"/>
        <v>0</v>
      </c>
      <c r="S125" s="38">
        <f t="shared" si="37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1"/>
        <v>0</v>
      </c>
      <c r="I126" s="31">
        <f t="shared" si="32"/>
        <v>0</v>
      </c>
      <c r="J126" s="32" t="str">
        <f t="shared" si="33"/>
        <v/>
      </c>
      <c r="K126" s="32"/>
      <c r="L126" s="33">
        <f t="shared" si="34"/>
        <v>0</v>
      </c>
      <c r="M126" s="32"/>
      <c r="N126" s="32"/>
      <c r="O126" s="34">
        <f t="shared" si="35"/>
        <v>0</v>
      </c>
      <c r="P126" s="44"/>
      <c r="Q126" s="44"/>
      <c r="R126" s="37">
        <f t="shared" si="36"/>
        <v>0</v>
      </c>
      <c r="S126" s="38">
        <f t="shared" si="37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1"/>
        <v>0</v>
      </c>
      <c r="I127" s="31">
        <f t="shared" si="32"/>
        <v>0</v>
      </c>
      <c r="J127" s="32" t="str">
        <f t="shared" si="33"/>
        <v/>
      </c>
      <c r="K127" s="32"/>
      <c r="L127" s="33">
        <f t="shared" si="34"/>
        <v>0</v>
      </c>
      <c r="M127" s="32"/>
      <c r="N127" s="32"/>
      <c r="O127" s="34">
        <f t="shared" si="35"/>
        <v>0</v>
      </c>
      <c r="P127" s="44"/>
      <c r="Q127" s="44"/>
      <c r="R127" s="37">
        <f t="shared" si="36"/>
        <v>0</v>
      </c>
      <c r="S127" s="38">
        <f t="shared" si="37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1"/>
        <v>0</v>
      </c>
      <c r="I128" s="31">
        <f t="shared" si="32"/>
        <v>0</v>
      </c>
      <c r="J128" s="32" t="str">
        <f t="shared" si="33"/>
        <v/>
      </c>
      <c r="K128" s="32"/>
      <c r="L128" s="33">
        <f t="shared" si="34"/>
        <v>0</v>
      </c>
      <c r="M128" s="32"/>
      <c r="N128" s="32"/>
      <c r="O128" s="34">
        <f t="shared" si="35"/>
        <v>0</v>
      </c>
      <c r="P128" s="44"/>
      <c r="Q128" s="44"/>
      <c r="R128" s="37">
        <f t="shared" si="36"/>
        <v>0</v>
      </c>
      <c r="S128" s="38">
        <f t="shared" si="37"/>
        <v>0</v>
      </c>
      <c r="T128" s="51"/>
      <c r="U128" s="42"/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1"/>
        <v>0</v>
      </c>
      <c r="I129" s="31">
        <f t="shared" si="32"/>
        <v>0</v>
      </c>
      <c r="J129" s="32" t="str">
        <f t="shared" si="33"/>
        <v/>
      </c>
      <c r="K129" s="32"/>
      <c r="L129" s="33">
        <f t="shared" si="34"/>
        <v>0</v>
      </c>
      <c r="M129" s="32"/>
      <c r="N129" s="32"/>
      <c r="O129" s="34">
        <f t="shared" si="35"/>
        <v>0</v>
      </c>
      <c r="P129" s="44"/>
      <c r="Q129" s="44"/>
      <c r="R129" s="37">
        <f t="shared" si="36"/>
        <v>0</v>
      </c>
      <c r="S129" s="38">
        <f t="shared" si="37"/>
        <v>0</v>
      </c>
      <c r="T129" s="51"/>
      <c r="U129" s="42"/>
    </row>
    <row r="130" ht="37.5" customHeight="1">
      <c r="B130" s="25">
        <v>22.0</v>
      </c>
      <c r="C130" s="49"/>
      <c r="D130" s="51"/>
      <c r="E130" s="51"/>
      <c r="F130" s="42"/>
      <c r="G130" s="53"/>
      <c r="H130" s="31">
        <f t="shared" si="31"/>
        <v>0</v>
      </c>
      <c r="I130" s="31">
        <f t="shared" si="32"/>
        <v>0</v>
      </c>
      <c r="J130" s="32" t="str">
        <f t="shared" si="33"/>
        <v/>
      </c>
      <c r="K130" s="32"/>
      <c r="L130" s="33">
        <f t="shared" si="34"/>
        <v>0</v>
      </c>
      <c r="M130" s="32"/>
      <c r="N130" s="32"/>
      <c r="O130" s="34">
        <f t="shared" si="35"/>
        <v>0</v>
      </c>
      <c r="P130" s="44"/>
      <c r="Q130" s="44"/>
      <c r="R130" s="37">
        <f t="shared" si="36"/>
        <v>0</v>
      </c>
      <c r="S130" s="38">
        <f t="shared" si="37"/>
        <v>0</v>
      </c>
      <c r="T130" s="51"/>
      <c r="U130" s="42"/>
    </row>
    <row r="131">
      <c r="B131" s="54"/>
      <c r="F131" s="55" t="s">
        <v>21</v>
      </c>
      <c r="S131" s="56">
        <f>SUM(S109:S130)</f>
        <v>0</v>
      </c>
      <c r="T131" s="57"/>
      <c r="U131" s="58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>
      <c r="B133" s="67" t="s">
        <v>21</v>
      </c>
      <c r="F133" s="68">
        <f>S31+S56+S81+S106+S131</f>
        <v>0</v>
      </c>
      <c r="T133" s="69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IFERROR(__xludf.DUMMYFUNCTION("IMPORTRANGE(""https://docs.google.com/spreadsheets/d/17TnzcKnlaqlAyM_3lnNpgK5CAOPbscCCRVH50X8UulY/edit?usp=sharing"",""OKTOBER!B2"")"),46296.0)</f>
        <v>46296</v>
      </c>
      <c r="C2" s="2"/>
      <c r="D2" s="2"/>
      <c r="E2" s="3"/>
      <c r="F2" s="126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29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129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IFERROR(__xludf.DUMMYFUNCTION("IMPORTRANGE(""https://docs.google.com/spreadsheets/d/17TnzcKnlaqlAyM_3lnNpgK5CAOPbscCCRVH50X8UulY/edit?usp=sharing"",""OKTOBER!B6"")"),"TANGGAL : 1-3 OKTOBER 2026")</f>
        <v>TANGGAL : 1-3 OKTOBER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IFERROR(__xludf.DUMMYFUNCTION("IMPORTRANGE(""https://docs.google.com/spreadsheets/d/17TnzcKnlaqlAyM_3lnNpgK5CAOPbscCCRVH50X8UulY/edit?usp=sharing"",""OKTOBER!B7:D25"")"),"EPUL")</f>
        <v>EPUL</v>
      </c>
      <c r="D9" s="27" t="str">
        <f>IFERROR(__xludf.DUMMYFUNCTION("""COMPUTED_VALUE"""),"KEPALA")</f>
        <v>KEPALA</v>
      </c>
      <c r="E9" s="28"/>
      <c r="F9" s="52">
        <f>IFERROR(__xludf.DUMMYFUNCTION("IMPORTRANGE(""https://docs.google.com/spreadsheets/d/17TnzcKnlaqlAyM_3lnNpgK5CAOPbscCCRVH50X8UulY/edit?usp=sharing"",""OKTOBER!K7:K25"")"),0.0)</f>
        <v>0</v>
      </c>
      <c r="G9" s="30">
        <v>110000.0</v>
      </c>
      <c r="H9" s="31">
        <f t="shared" ref="H9:H30" si="1">F9*G9</f>
        <v>0</v>
      </c>
      <c r="I9" s="31">
        <f t="shared" ref="I9:I15" si="2">F9*10000</f>
        <v>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0</v>
      </c>
      <c r="P9" s="44"/>
      <c r="Q9" s="44"/>
      <c r="R9" s="37">
        <f t="shared" ref="R9:R30" si="6">SUM(P9:Q9)</f>
        <v>0</v>
      </c>
      <c r="S9" s="38">
        <f t="shared" ref="S9:S30" si="7">O9-R9</f>
        <v>0</v>
      </c>
      <c r="T9" s="39" t="str">
        <f>IFERROR(__xludf.DUMMYFUNCTION("IMPORTRANGE(""https://docs.google.com/spreadsheets/d/17TnzcKnlaqlAyM_3lnNpgK5CAOPbscCCRVH50X8UulY/edit?usp=sharing"",""OKTOBER!L7:L25"")"),"")</f>
        <v/>
      </c>
      <c r="U9" s="42">
        <f>IFERROR(__xludf.DUMMYFUNCTION("IMPORTRANGE(""https://docs.google.com/spreadsheets/d/17TnzcKnlaqlAyM_3lnNpgK5CAOPbscCCRVH50X8UulY/edit?usp=sharing"",""OKTOBER!U7:U26"")"),0.0)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/>
      <c r="F10" s="52">
        <f>IFERROR(__xludf.DUMMYFUNCTION("""COMPUTED_VALUE"""),0.0)</f>
        <v>0</v>
      </c>
      <c r="G10" s="30">
        <v>70000.0</v>
      </c>
      <c r="H10" s="31">
        <f t="shared" si="1"/>
        <v>0</v>
      </c>
      <c r="I10" s="31">
        <f t="shared" si="2"/>
        <v>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0</v>
      </c>
      <c r="P10" s="44"/>
      <c r="Q10" s="44"/>
      <c r="R10" s="37">
        <f t="shared" si="6"/>
        <v>0</v>
      </c>
      <c r="S10" s="38">
        <f t="shared" si="7"/>
        <v>0</v>
      </c>
      <c r="T10" s="3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/>
      <c r="D11" s="27" t="str">
        <f>IFERROR(__xludf.DUMMYFUNCTION("""COMPUTED_VALUE"""),"ADMIN")</f>
        <v>ADMIN</v>
      </c>
      <c r="E11" s="28"/>
      <c r="F11" s="52">
        <f>IFERROR(__xludf.DUMMYFUNCTION("""COMPUTED_VALUE"""),0.0)</f>
        <v>0</v>
      </c>
      <c r="G11" s="30">
        <v>70000.0</v>
      </c>
      <c r="H11" s="31">
        <f t="shared" si="1"/>
        <v>0</v>
      </c>
      <c r="I11" s="31">
        <f t="shared" si="2"/>
        <v>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0</v>
      </c>
      <c r="P11" s="44"/>
      <c r="Q11" s="44"/>
      <c r="R11" s="37">
        <f t="shared" si="6"/>
        <v>0</v>
      </c>
      <c r="S11" s="38">
        <f t="shared" si="7"/>
        <v>0</v>
      </c>
      <c r="T11" s="3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IFERROR(__xludf.DUMMYFUNCTION("""COMPUTED_VALUE"""),"ANDRI")</f>
        <v>ANDRI</v>
      </c>
      <c r="D12" s="27" t="str">
        <f>IFERROR(__xludf.DUMMYFUNCTION("""COMPUTED_VALUE"""),"DESIGN BORDIR")</f>
        <v>DESIGN BORDIR</v>
      </c>
      <c r="E12" s="28"/>
      <c r="F12" s="52">
        <f>IFERROR(__xludf.DUMMYFUNCTION("""COMPUTED_VALUE"""),0.0)</f>
        <v>0</v>
      </c>
      <c r="G12" s="30">
        <v>70000.0</v>
      </c>
      <c r="H12" s="31">
        <f t="shared" si="1"/>
        <v>0</v>
      </c>
      <c r="I12" s="31">
        <f t="shared" si="2"/>
        <v>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0</v>
      </c>
      <c r="P12" s="44"/>
      <c r="Q12" s="44"/>
      <c r="R12" s="37">
        <f t="shared" si="6"/>
        <v>0</v>
      </c>
      <c r="S12" s="38">
        <f t="shared" si="7"/>
        <v>0</v>
      </c>
      <c r="T12" s="39"/>
      <c r="U12" s="42">
        <f>IFERROR(__xludf.DUMMYFUNCTION("""COMPUTED_VALUE"""),0.0)</f>
        <v>0</v>
      </c>
      <c r="V12" s="134"/>
      <c r="W12" s="24"/>
    </row>
    <row r="13" ht="37.5" customHeight="1">
      <c r="A13" s="24"/>
      <c r="B13" s="25">
        <v>5.0</v>
      </c>
      <c r="C13" s="26" t="str">
        <f>IFERROR(__xludf.DUMMYFUNCTION("""COMPUTED_VALUE"""),"ADIT")</f>
        <v>ADIT</v>
      </c>
      <c r="D13" s="27" t="str">
        <f>IFERROR(__xludf.DUMMYFUNCTION("""COMPUTED_VALUE"""),"CREATOR")</f>
        <v>CREATOR</v>
      </c>
      <c r="E13" s="28"/>
      <c r="F13" s="52">
        <f>IFERROR(__xludf.DUMMYFUNCTION("""COMPUTED_VALUE"""),0.0)</f>
        <v>0</v>
      </c>
      <c r="G13" s="30">
        <v>50000.0</v>
      </c>
      <c r="H13" s="31">
        <f t="shared" si="1"/>
        <v>0</v>
      </c>
      <c r="I13" s="31">
        <f t="shared" si="2"/>
        <v>0</v>
      </c>
      <c r="J13" s="32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0</v>
      </c>
      <c r="P13" s="44"/>
      <c r="Q13" s="44"/>
      <c r="R13" s="37">
        <f t="shared" si="6"/>
        <v>0</v>
      </c>
      <c r="S13" s="38">
        <f t="shared" si="7"/>
        <v>0</v>
      </c>
      <c r="T13" s="39"/>
      <c r="U13" s="42">
        <f>IFERROR(__xludf.DUMMYFUNCTION("""COMPUTED_VALUE"""),0.0)</f>
        <v>0</v>
      </c>
      <c r="V13" s="134"/>
      <c r="W13" s="24"/>
    </row>
    <row r="14" ht="37.5" customHeight="1">
      <c r="A14" s="24"/>
      <c r="B14" s="25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/>
      <c r="F14" s="52">
        <f>IFERROR(__xludf.DUMMYFUNCTION("""COMPUTED_VALUE"""),0.0)</f>
        <v>0</v>
      </c>
      <c r="G14" s="30">
        <v>70000.0</v>
      </c>
      <c r="H14" s="31">
        <f t="shared" si="1"/>
        <v>0</v>
      </c>
      <c r="I14" s="31">
        <f t="shared" si="2"/>
        <v>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0</v>
      </c>
      <c r="P14" s="44"/>
      <c r="Q14" s="44"/>
      <c r="R14" s="37">
        <f t="shared" si="6"/>
        <v>0</v>
      </c>
      <c r="S14" s="38">
        <f t="shared" si="7"/>
        <v>0</v>
      </c>
      <c r="T14" s="39"/>
      <c r="U14" s="42">
        <f>IFERROR(__xludf.DUMMYFUNCTION("""COMPUTED_VALUE"""),0.0)</f>
        <v>0</v>
      </c>
      <c r="V14" s="135"/>
      <c r="W14" s="24"/>
    </row>
    <row r="15" ht="37.5" customHeight="1">
      <c r="A15" s="24"/>
      <c r="B15" s="25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/>
      <c r="F15" s="52">
        <f>IFERROR(__xludf.DUMMYFUNCTION("""COMPUTED_VALUE"""),0.0)</f>
        <v>0</v>
      </c>
      <c r="G15" s="30">
        <v>70000.0</v>
      </c>
      <c r="H15" s="31">
        <f t="shared" si="1"/>
        <v>0</v>
      </c>
      <c r="I15" s="31">
        <f t="shared" si="2"/>
        <v>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0</v>
      </c>
      <c r="P15" s="44"/>
      <c r="Q15" s="44"/>
      <c r="R15" s="37">
        <f t="shared" si="6"/>
        <v>0</v>
      </c>
      <c r="S15" s="38">
        <f t="shared" si="7"/>
        <v>0</v>
      </c>
      <c r="T15" s="39"/>
      <c r="U15" s="42">
        <f>IFERROR(__xludf.DUMMYFUNCTION("""COMPUTED_VALUE"""),0.0)</f>
        <v>0</v>
      </c>
      <c r="V15" s="135"/>
      <c r="W15" s="24"/>
    </row>
    <row r="16" ht="37.5" customHeight="1">
      <c r="A16" s="24"/>
      <c r="B16" s="25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/>
      <c r="F16" s="52">
        <f>IFERROR(__xludf.DUMMYFUNCTION("""COMPUTED_VALUE"""),0.0)</f>
        <v>0</v>
      </c>
      <c r="G16" s="30">
        <v>50000.0</v>
      </c>
      <c r="H16" s="31">
        <f t="shared" si="1"/>
        <v>0</v>
      </c>
      <c r="I16" s="149">
        <v>0.0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0</v>
      </c>
      <c r="P16" s="44"/>
      <c r="Q16" s="44"/>
      <c r="R16" s="37">
        <f t="shared" si="6"/>
        <v>0</v>
      </c>
      <c r="S16" s="38">
        <f t="shared" si="7"/>
        <v>0</v>
      </c>
      <c r="T16" s="39"/>
      <c r="U16" s="42">
        <f>IFERROR(__xludf.DUMMYFUNCTION("""COMPUTED_VALUE"""),0.0)</f>
        <v>0</v>
      </c>
      <c r="V16" s="134"/>
      <c r="W16" s="24"/>
    </row>
    <row r="17" ht="37.5" customHeight="1">
      <c r="A17" s="24"/>
      <c r="B17" s="25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28"/>
      <c r="F17" s="52">
        <f>IFERROR(__xludf.DUMMYFUNCTION("""COMPUTED_VALUE"""),0.0)</f>
        <v>0</v>
      </c>
      <c r="G17" s="30">
        <v>50000.0</v>
      </c>
      <c r="H17" s="31">
        <f t="shared" si="1"/>
        <v>0</v>
      </c>
      <c r="I17" s="31">
        <f t="shared" ref="I17:I30" si="8">F17*10000</f>
        <v>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0</v>
      </c>
      <c r="P17" s="44"/>
      <c r="Q17" s="44"/>
      <c r="R17" s="37">
        <f t="shared" si="6"/>
        <v>0</v>
      </c>
      <c r="S17" s="38">
        <f t="shared" si="7"/>
        <v>0</v>
      </c>
      <c r="T17" s="39"/>
      <c r="U17" s="42">
        <f>IFERROR(__xludf.DUMMYFUNCTION("""COMPUTED_VALUE"""),0.0)</f>
        <v>0</v>
      </c>
      <c r="V17" s="134"/>
      <c r="W17" s="24"/>
    </row>
    <row r="18" ht="37.5" customHeight="1">
      <c r="A18" s="24"/>
      <c r="B18" s="25">
        <v>10.0</v>
      </c>
      <c r="C18" s="49" t="str">
        <f>IFERROR(__xludf.DUMMYFUNCTION("""COMPUTED_VALUE"""),"IIS")</f>
        <v>IIS</v>
      </c>
      <c r="D18" s="27" t="str">
        <f>IFERROR(__xludf.DUMMYFUNCTION("""COMPUTED_VALUE"""),"PACKING")</f>
        <v>PACKING</v>
      </c>
      <c r="E18" s="51"/>
      <c r="F18" s="52">
        <f>IFERROR(__xludf.DUMMYFUNCTION("""COMPUTED_VALUE"""),0.0)</f>
        <v>0</v>
      </c>
      <c r="G18" s="45"/>
      <c r="H18" s="31">
        <f t="shared" si="1"/>
        <v>0</v>
      </c>
      <c r="I18" s="31">
        <f t="shared" si="8"/>
        <v>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0</v>
      </c>
      <c r="P18" s="44"/>
      <c r="Q18" s="44"/>
      <c r="R18" s="37">
        <f t="shared" si="6"/>
        <v>0</v>
      </c>
      <c r="S18" s="38">
        <f t="shared" si="7"/>
        <v>0</v>
      </c>
      <c r="T18" s="39"/>
      <c r="U18" s="42">
        <f>IFERROR(__xludf.DUMMYFUNCTION("""COMPUTED_VALUE"""),0.0)</f>
        <v>0</v>
      </c>
      <c r="V18" s="13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8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44"/>
      <c r="Q19" s="44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134"/>
      <c r="W19" s="24"/>
    </row>
    <row r="20" ht="37.5" customHeight="1">
      <c r="A20" s="24"/>
      <c r="B20" s="25">
        <v>12.0</v>
      </c>
      <c r="C20" s="49"/>
      <c r="D20" s="50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8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44"/>
      <c r="Q20" s="44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13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8"/>
        <v>0</v>
      </c>
      <c r="J21" s="32"/>
      <c r="K21" s="32"/>
      <c r="L21" s="33">
        <f t="shared" si="4"/>
        <v>0</v>
      </c>
      <c r="M21" s="32"/>
      <c r="N21" s="32"/>
      <c r="O21" s="34">
        <f t="shared" si="5"/>
        <v>0</v>
      </c>
      <c r="P21" s="44"/>
      <c r="Q21" s="44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13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8"/>
        <v>0</v>
      </c>
      <c r="J22" s="32" t="str">
        <f>IF(E22="SHIFT 2",I22,"")</f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44"/>
      <c r="Q22" s="44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13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8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13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8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136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8"/>
        <v>0</v>
      </c>
      <c r="J25" s="32" t="str">
        <f t="shared" ref="J25:J30" si="9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136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8"/>
        <v>0</v>
      </c>
      <c r="J26" s="32" t="str">
        <f t="shared" si="9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136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8"/>
        <v>0</v>
      </c>
      <c r="J27" s="32" t="str">
        <f t="shared" si="9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8"/>
        <v>0</v>
      </c>
      <c r="J28" s="32" t="str">
        <f t="shared" si="9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>
        <f>IFERROR(__xludf.DUMMYFUNCTION("""COMPUTED_VALUE"""),0.0)</f>
        <v>0</v>
      </c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8"/>
        <v>0</v>
      </c>
      <c r="J29" s="32" t="str">
        <f t="shared" si="9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8"/>
        <v>0</v>
      </c>
      <c r="J30" s="32" t="str">
        <f t="shared" si="9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B31" s="54"/>
      <c r="F31" s="55" t="s">
        <v>21</v>
      </c>
      <c r="S31" s="56">
        <f>SUM(S9:S30)</f>
        <v>0</v>
      </c>
      <c r="T31" s="57"/>
      <c r="U31" s="58"/>
    </row>
    <row r="32" ht="37.5" customHeight="1"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ht="37.5" customHeight="1">
      <c r="A33" s="24"/>
      <c r="B33" s="21" t="str">
        <f>IFERROR(__xludf.DUMMYFUNCTION("IMPORTRANGE(""https://docs.google.com/spreadsheets/d/17TnzcKnlaqlAyM_3lnNpgK5CAOPbscCCRVH50X8UulY/edit?usp=sharing"",""OKTOBER!B28"")"),"TANGGAL : 5-10 OKTOBER 2026")</f>
        <v>TANGGAL : 5-10 OKTOBER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IFERROR(__xludf.DUMMYFUNCTION("IMPORTRANGE(""https://docs.google.com/spreadsheets/d/17TnzcKnlaqlAyM_3lnNpgK5CAOPbscCCRVH50X8UulY/edit?usp=sharing"",""OKTOBER!B29:D47"")"),"EPUL")</f>
        <v>EPUL</v>
      </c>
      <c r="D34" s="27" t="str">
        <f>IFERROR(__xludf.DUMMYFUNCTION("""COMPUTED_VALUE"""),"KEPALA")</f>
        <v>KEPALA</v>
      </c>
      <c r="E34" s="28"/>
      <c r="F34" s="52">
        <f>IFERROR(__xludf.DUMMYFUNCTION("IMPORTRANGE(""https://docs.google.com/spreadsheets/d/17TnzcKnlaqlAyM_3lnNpgK5CAOPbscCCRVH50X8UulY/edit?usp=sharing"",""OKTOBER!K29:K47"")"),0.0)</f>
        <v>0</v>
      </c>
      <c r="G34" s="30">
        <v>110000.0</v>
      </c>
      <c r="H34" s="31">
        <f t="shared" ref="H34:H55" si="10">F34*G34</f>
        <v>0</v>
      </c>
      <c r="I34" s="31">
        <f t="shared" ref="I34:I55" si="11">F34*10000</f>
        <v>0</v>
      </c>
      <c r="J34" s="32" t="str">
        <f t="shared" ref="J34:J55" si="12">IF(E34="SHIFT 2",I34,"")</f>
        <v/>
      </c>
      <c r="K34" s="32"/>
      <c r="L34" s="33">
        <f t="shared" ref="L34:L55" si="13">U34*$L$33</f>
        <v>0</v>
      </c>
      <c r="M34" s="32"/>
      <c r="N34" s="32"/>
      <c r="O34" s="34">
        <f t="shared" ref="O34:O55" si="14">SUM(H34:N34)</f>
        <v>0</v>
      </c>
      <c r="P34" s="36"/>
      <c r="Q34" s="36"/>
      <c r="R34" s="37">
        <f t="shared" ref="R34:R55" si="15">SUM(P34:Q34)</f>
        <v>0</v>
      </c>
      <c r="S34" s="38">
        <f t="shared" ref="S34:S55" si="16">O34-R34</f>
        <v>0</v>
      </c>
      <c r="T34" s="52" t="str">
        <f>IFERROR(__xludf.DUMMYFUNCTION("IMPORTRANGE(""https://docs.google.com/spreadsheets/d/17TnzcKnlaqlAyM_3lnNpgK5CAOPbscCCRVH50X8UulY/edit?usp=sharing"",""OKTOBER!L29:L47"")"),"")</f>
        <v/>
      </c>
      <c r="U34" s="42">
        <f>IFERROR(__xludf.DUMMYFUNCTION("IMPORTRANGE(""https://docs.google.com/spreadsheets/d/17TnzcKnlaqlAyM_3lnNpgK5CAOPbscCCRVH50X8UulY/edit?usp=sharing"",""OKTOBER!U29:U47"")"),0.0)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/>
      <c r="F35" s="52">
        <f>IFERROR(__xludf.DUMMYFUNCTION("""COMPUTED_VALUE"""),0.0)</f>
        <v>0</v>
      </c>
      <c r="G35" s="30">
        <v>70000.0</v>
      </c>
      <c r="H35" s="31">
        <f t="shared" si="10"/>
        <v>0</v>
      </c>
      <c r="I35" s="31">
        <f t="shared" si="11"/>
        <v>0</v>
      </c>
      <c r="J35" s="32" t="str">
        <f t="shared" si="12"/>
        <v/>
      </c>
      <c r="K35" s="41"/>
      <c r="L35" s="33">
        <f t="shared" si="13"/>
        <v>0</v>
      </c>
      <c r="M35" s="41"/>
      <c r="N35" s="41"/>
      <c r="O35" s="34">
        <f t="shared" si="14"/>
        <v>0</v>
      </c>
      <c r="P35" s="36"/>
      <c r="Q35" s="36"/>
      <c r="R35" s="37">
        <f t="shared" si="15"/>
        <v>0</v>
      </c>
      <c r="S35" s="38">
        <f t="shared" si="16"/>
        <v>0</v>
      </c>
      <c r="T35" s="52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/>
      <c r="D36" s="27" t="str">
        <f>IFERROR(__xludf.DUMMYFUNCTION("""COMPUTED_VALUE"""),"ADMIN")</f>
        <v>ADMIN</v>
      </c>
      <c r="E36" s="28"/>
      <c r="F36" s="52">
        <f>IFERROR(__xludf.DUMMYFUNCTION("""COMPUTED_VALUE"""),0.0)</f>
        <v>0</v>
      </c>
      <c r="G36" s="30">
        <v>70000.0</v>
      </c>
      <c r="H36" s="31">
        <f t="shared" si="10"/>
        <v>0</v>
      </c>
      <c r="I36" s="31">
        <f t="shared" si="11"/>
        <v>0</v>
      </c>
      <c r="J36" s="32" t="str">
        <f t="shared" si="12"/>
        <v/>
      </c>
      <c r="K36" s="41"/>
      <c r="L36" s="33">
        <f t="shared" si="13"/>
        <v>0</v>
      </c>
      <c r="M36" s="41"/>
      <c r="N36" s="41"/>
      <c r="O36" s="34">
        <f t="shared" si="14"/>
        <v>0</v>
      </c>
      <c r="P36" s="35"/>
      <c r="Q36" s="36"/>
      <c r="R36" s="37">
        <f t="shared" si="15"/>
        <v>0</v>
      </c>
      <c r="S36" s="38">
        <f t="shared" si="16"/>
        <v>0</v>
      </c>
      <c r="T36" s="52"/>
      <c r="U36" s="42">
        <f>IFERROR(__xludf.DUMMYFUNCTION("""COMPUTED_VALUE"""),0.0)</f>
        <v>0</v>
      </c>
      <c r="V36" s="24"/>
      <c r="W36" s="24"/>
    </row>
    <row r="37" ht="37.5" customHeight="1">
      <c r="A37" s="24"/>
      <c r="B37" s="25">
        <v>4.0</v>
      </c>
      <c r="C37" s="26" t="str">
        <f>IFERROR(__xludf.DUMMYFUNCTION("""COMPUTED_VALUE"""),"ANDRI")</f>
        <v>ANDRI</v>
      </c>
      <c r="D37" s="27" t="str">
        <f>IFERROR(__xludf.DUMMYFUNCTION("""COMPUTED_VALUE"""),"DESIGN BORDIR")</f>
        <v>DESIGN BORDIR</v>
      </c>
      <c r="E37" s="28"/>
      <c r="F37" s="52">
        <f>IFERROR(__xludf.DUMMYFUNCTION("""COMPUTED_VALUE"""),0.0)</f>
        <v>0</v>
      </c>
      <c r="G37" s="30">
        <v>70000.0</v>
      </c>
      <c r="H37" s="31">
        <f t="shared" si="10"/>
        <v>0</v>
      </c>
      <c r="I37" s="31">
        <f t="shared" si="11"/>
        <v>0</v>
      </c>
      <c r="J37" s="32" t="str">
        <f t="shared" si="12"/>
        <v/>
      </c>
      <c r="K37" s="32"/>
      <c r="L37" s="33">
        <f t="shared" si="13"/>
        <v>0</v>
      </c>
      <c r="M37" s="32"/>
      <c r="N37" s="32"/>
      <c r="O37" s="34">
        <f t="shared" si="14"/>
        <v>0</v>
      </c>
      <c r="P37" s="36"/>
      <c r="Q37" s="36"/>
      <c r="R37" s="37">
        <f t="shared" si="15"/>
        <v>0</v>
      </c>
      <c r="S37" s="38">
        <f t="shared" si="16"/>
        <v>0</v>
      </c>
      <c r="T37" s="52"/>
      <c r="U37" s="42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6" t="str">
        <f>IFERROR(__xludf.DUMMYFUNCTION("""COMPUTED_VALUE"""),"ADIT")</f>
        <v>ADIT</v>
      </c>
      <c r="D38" s="27" t="str">
        <f>IFERROR(__xludf.DUMMYFUNCTION("""COMPUTED_VALUE"""),"CREATOR")</f>
        <v>CREATOR</v>
      </c>
      <c r="E38" s="28"/>
      <c r="F38" s="52">
        <f>IFERROR(__xludf.DUMMYFUNCTION("""COMPUTED_VALUE"""),0.0)</f>
        <v>0</v>
      </c>
      <c r="G38" s="30">
        <v>50000.0</v>
      </c>
      <c r="H38" s="31">
        <f t="shared" si="10"/>
        <v>0</v>
      </c>
      <c r="I38" s="31">
        <f t="shared" si="11"/>
        <v>0</v>
      </c>
      <c r="J38" s="32" t="str">
        <f t="shared" si="12"/>
        <v/>
      </c>
      <c r="K38" s="32"/>
      <c r="L38" s="33">
        <f t="shared" si="13"/>
        <v>0</v>
      </c>
      <c r="M38" s="32"/>
      <c r="N38" s="32"/>
      <c r="O38" s="34">
        <f t="shared" si="14"/>
        <v>0</v>
      </c>
      <c r="P38" s="36"/>
      <c r="Q38" s="36"/>
      <c r="R38" s="37">
        <f t="shared" si="15"/>
        <v>0</v>
      </c>
      <c r="S38" s="38">
        <f t="shared" si="16"/>
        <v>0</v>
      </c>
      <c r="T38" s="52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/>
      <c r="F39" s="52">
        <f>IFERROR(__xludf.DUMMYFUNCTION("""COMPUTED_VALUE"""),0.0)</f>
        <v>0</v>
      </c>
      <c r="G39" s="30">
        <v>70000.0</v>
      </c>
      <c r="H39" s="31">
        <f t="shared" si="10"/>
        <v>0</v>
      </c>
      <c r="I39" s="31">
        <f t="shared" si="11"/>
        <v>0</v>
      </c>
      <c r="J39" s="32" t="str">
        <f t="shared" si="12"/>
        <v/>
      </c>
      <c r="K39" s="32"/>
      <c r="L39" s="33">
        <f t="shared" si="13"/>
        <v>0</v>
      </c>
      <c r="M39" s="32"/>
      <c r="N39" s="32"/>
      <c r="O39" s="34">
        <f t="shared" si="14"/>
        <v>0</v>
      </c>
      <c r="P39" s="36"/>
      <c r="Q39" s="36"/>
      <c r="R39" s="37">
        <f t="shared" si="15"/>
        <v>0</v>
      </c>
      <c r="S39" s="38">
        <f t="shared" si="16"/>
        <v>0</v>
      </c>
      <c r="T39" s="52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/>
      <c r="F40" s="52">
        <f>IFERROR(__xludf.DUMMYFUNCTION("""COMPUTED_VALUE"""),0.0)</f>
        <v>0</v>
      </c>
      <c r="G40" s="30">
        <v>70000.0</v>
      </c>
      <c r="H40" s="31">
        <f t="shared" si="10"/>
        <v>0</v>
      </c>
      <c r="I40" s="31">
        <f t="shared" si="11"/>
        <v>0</v>
      </c>
      <c r="J40" s="32" t="str">
        <f t="shared" si="12"/>
        <v/>
      </c>
      <c r="K40" s="32"/>
      <c r="L40" s="33">
        <f t="shared" si="13"/>
        <v>0</v>
      </c>
      <c r="M40" s="32"/>
      <c r="N40" s="32"/>
      <c r="O40" s="34">
        <f t="shared" si="14"/>
        <v>0</v>
      </c>
      <c r="P40" s="36"/>
      <c r="Q40" s="36"/>
      <c r="R40" s="37">
        <f t="shared" si="15"/>
        <v>0</v>
      </c>
      <c r="S40" s="38">
        <f t="shared" si="16"/>
        <v>0</v>
      </c>
      <c r="T40" s="52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/>
      <c r="F41" s="52">
        <f>IFERROR(__xludf.DUMMYFUNCTION("""COMPUTED_VALUE"""),0.0)</f>
        <v>0</v>
      </c>
      <c r="G41" s="30">
        <v>50000.0</v>
      </c>
      <c r="H41" s="31">
        <f t="shared" si="10"/>
        <v>0</v>
      </c>
      <c r="I41" s="31">
        <f t="shared" si="11"/>
        <v>0</v>
      </c>
      <c r="J41" s="32" t="str">
        <f t="shared" si="12"/>
        <v/>
      </c>
      <c r="K41" s="32"/>
      <c r="L41" s="33">
        <f t="shared" si="13"/>
        <v>0</v>
      </c>
      <c r="M41" s="32"/>
      <c r="N41" s="32"/>
      <c r="O41" s="34">
        <f t="shared" si="14"/>
        <v>0</v>
      </c>
      <c r="P41" s="36"/>
      <c r="Q41" s="36"/>
      <c r="R41" s="37">
        <f t="shared" si="15"/>
        <v>0</v>
      </c>
      <c r="S41" s="38">
        <f t="shared" si="16"/>
        <v>0</v>
      </c>
      <c r="T41" s="52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/>
      <c r="F42" s="52">
        <f>IFERROR(__xludf.DUMMYFUNCTION("""COMPUTED_VALUE"""),0.0)</f>
        <v>0</v>
      </c>
      <c r="G42" s="30">
        <v>50000.0</v>
      </c>
      <c r="H42" s="31">
        <f t="shared" si="10"/>
        <v>0</v>
      </c>
      <c r="I42" s="31">
        <f t="shared" si="11"/>
        <v>0</v>
      </c>
      <c r="J42" s="32" t="str">
        <f t="shared" si="12"/>
        <v/>
      </c>
      <c r="K42" s="32"/>
      <c r="L42" s="33">
        <f t="shared" si="13"/>
        <v>0</v>
      </c>
      <c r="M42" s="32"/>
      <c r="N42" s="32"/>
      <c r="O42" s="34">
        <f t="shared" si="14"/>
        <v>0</v>
      </c>
      <c r="P42" s="36"/>
      <c r="Q42" s="36"/>
      <c r="R42" s="37">
        <f t="shared" si="15"/>
        <v>0</v>
      </c>
      <c r="S42" s="38">
        <f t="shared" si="16"/>
        <v>0</v>
      </c>
      <c r="T42" s="52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49" t="str">
        <f>IFERROR(__xludf.DUMMYFUNCTION("""COMPUTED_VALUE"""),"IIS")</f>
        <v>IIS</v>
      </c>
      <c r="D43" s="27" t="str">
        <f>IFERROR(__xludf.DUMMYFUNCTION("""COMPUTED_VALUE"""),"PACKING")</f>
        <v>PACKING</v>
      </c>
      <c r="E43" s="51"/>
      <c r="F43" s="52">
        <f>IFERROR(__xludf.DUMMYFUNCTION("""COMPUTED_VALUE"""),0.0)</f>
        <v>0</v>
      </c>
      <c r="G43" s="45"/>
      <c r="H43" s="31">
        <f t="shared" si="10"/>
        <v>0</v>
      </c>
      <c r="I43" s="31">
        <f t="shared" si="11"/>
        <v>0</v>
      </c>
      <c r="J43" s="32" t="str">
        <f t="shared" si="12"/>
        <v/>
      </c>
      <c r="K43" s="32"/>
      <c r="L43" s="33">
        <f t="shared" si="13"/>
        <v>0</v>
      </c>
      <c r="M43" s="32"/>
      <c r="N43" s="32"/>
      <c r="O43" s="34">
        <f t="shared" si="14"/>
        <v>0</v>
      </c>
      <c r="P43" s="44"/>
      <c r="Q43" s="44"/>
      <c r="R43" s="37">
        <f t="shared" si="15"/>
        <v>0</v>
      </c>
      <c r="S43" s="38">
        <f t="shared" si="16"/>
        <v>0</v>
      </c>
      <c r="T43" s="52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10"/>
        <v>0</v>
      </c>
      <c r="I44" s="31">
        <f t="shared" si="11"/>
        <v>0</v>
      </c>
      <c r="J44" s="32" t="str">
        <f t="shared" si="12"/>
        <v/>
      </c>
      <c r="K44" s="32"/>
      <c r="L44" s="33">
        <f t="shared" si="13"/>
        <v>0</v>
      </c>
      <c r="M44" s="32"/>
      <c r="N44" s="32"/>
      <c r="O44" s="34">
        <f t="shared" si="14"/>
        <v>0</v>
      </c>
      <c r="P44" s="44"/>
      <c r="Q44" s="44"/>
      <c r="R44" s="37">
        <f t="shared" si="15"/>
        <v>0</v>
      </c>
      <c r="S44" s="38">
        <f t="shared" si="16"/>
        <v>0</v>
      </c>
      <c r="T44" s="52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49"/>
      <c r="D45" s="50"/>
      <c r="E45" s="51"/>
      <c r="F45" s="52">
        <f>IFERROR(__xludf.DUMMYFUNCTION("""COMPUTED_VALUE"""),0.0)</f>
        <v>0</v>
      </c>
      <c r="G45" s="45"/>
      <c r="H45" s="31">
        <f t="shared" si="10"/>
        <v>0</v>
      </c>
      <c r="I45" s="31">
        <f t="shared" si="11"/>
        <v>0</v>
      </c>
      <c r="J45" s="32" t="str">
        <f t="shared" si="12"/>
        <v/>
      </c>
      <c r="K45" s="32"/>
      <c r="L45" s="33">
        <f t="shared" si="13"/>
        <v>0</v>
      </c>
      <c r="M45" s="32"/>
      <c r="N45" s="32"/>
      <c r="O45" s="34">
        <f t="shared" si="14"/>
        <v>0</v>
      </c>
      <c r="P45" s="44"/>
      <c r="Q45" s="44"/>
      <c r="R45" s="37">
        <f t="shared" si="15"/>
        <v>0</v>
      </c>
      <c r="S45" s="38">
        <f t="shared" si="16"/>
        <v>0</v>
      </c>
      <c r="T45" s="52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10"/>
        <v>0</v>
      </c>
      <c r="I46" s="31">
        <f t="shared" si="11"/>
        <v>0</v>
      </c>
      <c r="J46" s="32" t="str">
        <f t="shared" si="12"/>
        <v/>
      </c>
      <c r="K46" s="32"/>
      <c r="L46" s="33">
        <f t="shared" si="13"/>
        <v>0</v>
      </c>
      <c r="M46" s="32"/>
      <c r="N46" s="32"/>
      <c r="O46" s="34">
        <f t="shared" si="14"/>
        <v>0</v>
      </c>
      <c r="P46" s="44"/>
      <c r="Q46" s="44"/>
      <c r="R46" s="37">
        <f t="shared" si="15"/>
        <v>0</v>
      </c>
      <c r="S46" s="38">
        <f t="shared" si="16"/>
        <v>0</v>
      </c>
      <c r="T46" s="52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10"/>
        <v>0</v>
      </c>
      <c r="I47" s="31">
        <f t="shared" si="11"/>
        <v>0</v>
      </c>
      <c r="J47" s="32" t="str">
        <f t="shared" si="12"/>
        <v/>
      </c>
      <c r="K47" s="32"/>
      <c r="L47" s="33">
        <f t="shared" si="13"/>
        <v>0</v>
      </c>
      <c r="M47" s="32"/>
      <c r="N47" s="32"/>
      <c r="O47" s="34">
        <f t="shared" si="14"/>
        <v>0</v>
      </c>
      <c r="P47" s="44"/>
      <c r="Q47" s="44"/>
      <c r="R47" s="37">
        <f t="shared" si="15"/>
        <v>0</v>
      </c>
      <c r="S47" s="38">
        <f t="shared" si="16"/>
        <v>0</v>
      </c>
      <c r="T47" s="52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10"/>
        <v>0</v>
      </c>
      <c r="I48" s="31">
        <f t="shared" si="11"/>
        <v>0</v>
      </c>
      <c r="J48" s="32" t="str">
        <f t="shared" si="12"/>
        <v/>
      </c>
      <c r="K48" s="32"/>
      <c r="L48" s="33">
        <f t="shared" si="13"/>
        <v>0</v>
      </c>
      <c r="M48" s="32"/>
      <c r="N48" s="32"/>
      <c r="O48" s="34">
        <f t="shared" si="14"/>
        <v>0</v>
      </c>
      <c r="P48" s="44"/>
      <c r="Q48" s="44"/>
      <c r="R48" s="37">
        <f t="shared" si="15"/>
        <v>0</v>
      </c>
      <c r="S48" s="38">
        <f t="shared" si="16"/>
        <v>0</v>
      </c>
      <c r="T48" s="52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10"/>
        <v>0</v>
      </c>
      <c r="I49" s="31">
        <f t="shared" si="11"/>
        <v>0</v>
      </c>
      <c r="J49" s="32" t="str">
        <f t="shared" si="12"/>
        <v/>
      </c>
      <c r="K49" s="32"/>
      <c r="L49" s="33">
        <f t="shared" si="13"/>
        <v>0</v>
      </c>
      <c r="M49" s="32"/>
      <c r="N49" s="32"/>
      <c r="O49" s="34">
        <f t="shared" si="14"/>
        <v>0</v>
      </c>
      <c r="P49" s="44"/>
      <c r="Q49" s="44"/>
      <c r="R49" s="37">
        <f t="shared" si="15"/>
        <v>0</v>
      </c>
      <c r="S49" s="38">
        <f t="shared" si="16"/>
        <v>0</v>
      </c>
      <c r="T49" s="52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10"/>
        <v>0</v>
      </c>
      <c r="I50" s="31">
        <f t="shared" si="11"/>
        <v>0</v>
      </c>
      <c r="J50" s="32" t="str">
        <f t="shared" si="12"/>
        <v/>
      </c>
      <c r="K50" s="32"/>
      <c r="L50" s="33">
        <f t="shared" si="13"/>
        <v>0</v>
      </c>
      <c r="M50" s="32"/>
      <c r="N50" s="32"/>
      <c r="O50" s="34">
        <f t="shared" si="14"/>
        <v>0</v>
      </c>
      <c r="P50" s="44"/>
      <c r="Q50" s="44"/>
      <c r="R50" s="37">
        <f t="shared" si="15"/>
        <v>0</v>
      </c>
      <c r="S50" s="38">
        <f t="shared" si="16"/>
        <v>0</v>
      </c>
      <c r="T50" s="52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10"/>
        <v>0</v>
      </c>
      <c r="I51" s="31">
        <f t="shared" si="11"/>
        <v>0</v>
      </c>
      <c r="J51" s="32" t="str">
        <f t="shared" si="12"/>
        <v/>
      </c>
      <c r="K51" s="32"/>
      <c r="L51" s="33">
        <f t="shared" si="13"/>
        <v>0</v>
      </c>
      <c r="M51" s="32"/>
      <c r="N51" s="32"/>
      <c r="O51" s="34">
        <f t="shared" si="14"/>
        <v>0</v>
      </c>
      <c r="P51" s="44"/>
      <c r="Q51" s="44"/>
      <c r="R51" s="37">
        <f t="shared" si="15"/>
        <v>0</v>
      </c>
      <c r="S51" s="38">
        <f t="shared" si="16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10"/>
        <v>0</v>
      </c>
      <c r="I52" s="31">
        <f t="shared" si="11"/>
        <v>0</v>
      </c>
      <c r="J52" s="32" t="str">
        <f t="shared" si="12"/>
        <v/>
      </c>
      <c r="K52" s="32"/>
      <c r="L52" s="33">
        <f t="shared" si="13"/>
        <v>0</v>
      </c>
      <c r="M52" s="32"/>
      <c r="N52" s="32"/>
      <c r="O52" s="34">
        <f t="shared" si="14"/>
        <v>0</v>
      </c>
      <c r="P52" s="44"/>
      <c r="Q52" s="44"/>
      <c r="R52" s="37">
        <f t="shared" si="15"/>
        <v>0</v>
      </c>
      <c r="S52" s="38">
        <f t="shared" si="16"/>
        <v>0</v>
      </c>
      <c r="T52" s="51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10"/>
        <v>0</v>
      </c>
      <c r="I53" s="31">
        <f t="shared" si="11"/>
        <v>0</v>
      </c>
      <c r="J53" s="32" t="str">
        <f t="shared" si="12"/>
        <v/>
      </c>
      <c r="K53" s="32"/>
      <c r="L53" s="33">
        <f t="shared" si="13"/>
        <v>0</v>
      </c>
      <c r="M53" s="32"/>
      <c r="N53" s="32"/>
      <c r="O53" s="34">
        <f t="shared" si="14"/>
        <v>0</v>
      </c>
      <c r="P53" s="44"/>
      <c r="Q53" s="44"/>
      <c r="R53" s="37">
        <f t="shared" si="15"/>
        <v>0</v>
      </c>
      <c r="S53" s="38">
        <f t="shared" si="16"/>
        <v>0</v>
      </c>
      <c r="T53" s="51"/>
      <c r="U53" s="42"/>
      <c r="V53" s="24"/>
      <c r="W53" s="24"/>
    </row>
    <row r="54" ht="37.5" customHeight="1">
      <c r="B54" s="25">
        <v>21.0</v>
      </c>
      <c r="C54" s="49"/>
      <c r="D54" s="51"/>
      <c r="E54" s="51"/>
      <c r="F54" s="42"/>
      <c r="G54" s="53"/>
      <c r="H54" s="31">
        <f t="shared" si="10"/>
        <v>0</v>
      </c>
      <c r="I54" s="31">
        <f t="shared" si="11"/>
        <v>0</v>
      </c>
      <c r="J54" s="32" t="str">
        <f t="shared" si="12"/>
        <v/>
      </c>
      <c r="K54" s="32"/>
      <c r="L54" s="33">
        <f t="shared" si="13"/>
        <v>0</v>
      </c>
      <c r="M54" s="32"/>
      <c r="N54" s="32"/>
      <c r="O54" s="34">
        <f t="shared" si="14"/>
        <v>0</v>
      </c>
      <c r="P54" s="44"/>
      <c r="Q54" s="44"/>
      <c r="R54" s="37">
        <f t="shared" si="15"/>
        <v>0</v>
      </c>
      <c r="S54" s="38">
        <f t="shared" si="16"/>
        <v>0</v>
      </c>
      <c r="T54" s="51"/>
      <c r="U54" s="42"/>
    </row>
    <row r="55" ht="37.5" customHeight="1">
      <c r="B55" s="25">
        <v>22.0</v>
      </c>
      <c r="C55" s="49"/>
      <c r="D55" s="51"/>
      <c r="E55" s="51"/>
      <c r="F55" s="42"/>
      <c r="G55" s="53"/>
      <c r="H55" s="31">
        <f t="shared" si="10"/>
        <v>0</v>
      </c>
      <c r="I55" s="31">
        <f t="shared" si="11"/>
        <v>0</v>
      </c>
      <c r="J55" s="32" t="str">
        <f t="shared" si="12"/>
        <v/>
      </c>
      <c r="K55" s="32"/>
      <c r="L55" s="33">
        <f t="shared" si="13"/>
        <v>0</v>
      </c>
      <c r="M55" s="32"/>
      <c r="N55" s="32"/>
      <c r="O55" s="34">
        <f t="shared" si="14"/>
        <v>0</v>
      </c>
      <c r="P55" s="44"/>
      <c r="Q55" s="44"/>
      <c r="R55" s="37">
        <f t="shared" si="15"/>
        <v>0</v>
      </c>
      <c r="S55" s="38">
        <f t="shared" si="16"/>
        <v>0</v>
      </c>
      <c r="T55" s="51"/>
      <c r="U55" s="42"/>
    </row>
    <row r="56" ht="37.5" customHeight="1">
      <c r="B56" s="54"/>
      <c r="F56" s="55" t="s">
        <v>21</v>
      </c>
      <c r="S56" s="56">
        <f>SUM(S34:S55)</f>
        <v>0</v>
      </c>
      <c r="T56" s="57"/>
      <c r="U56" s="58"/>
    </row>
    <row r="57" ht="37.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t="37.5" customHeight="1">
      <c r="B58" s="21" t="str">
        <f>IFERROR(__xludf.DUMMYFUNCTION("IMPORTRANGE(""https://docs.google.com/spreadsheets/d/17TnzcKnlaqlAyM_3lnNpgK5CAOPbscCCRVH50X8UulY/edit?usp=sharing"",""OKTOBER!B50"")"),"TANGGAL : 12-17 OKTOBER 2026")</f>
        <v>TANGGAL : 12-17 OKTOBER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IFERROR(__xludf.DUMMYFUNCTION("IMPORTRANGE(""https://docs.google.com/spreadsheets/d/17TnzcKnlaqlAyM_3lnNpgK5CAOPbscCCRVH50X8UulY/edit?usp=sharing"",""OKTOBER!B51:D69"")"),"EPUL")</f>
        <v>EPUL</v>
      </c>
      <c r="D59" s="27" t="str">
        <f>IFERROR(__xludf.DUMMYFUNCTION("""COMPUTED_VALUE"""),"KEPALA")</f>
        <v>KEPALA</v>
      </c>
      <c r="E59" s="28"/>
      <c r="F59" s="52">
        <f>IFERROR(__xludf.DUMMYFUNCTION("IMPORTRANGE(""https://docs.google.com/spreadsheets/d/17TnzcKnlaqlAyM_3lnNpgK5CAOPbscCCRVH50X8UulY/edit?usp=sharing"",""OKTOBER!K51:K69"")"),0.0)</f>
        <v>0</v>
      </c>
      <c r="G59" s="30">
        <v>110000.0</v>
      </c>
      <c r="H59" s="31">
        <f t="shared" ref="H59:H80" si="17">F59*G59</f>
        <v>0</v>
      </c>
      <c r="I59" s="31">
        <f t="shared" ref="I59:I65" si="18">F59*10000</f>
        <v>0</v>
      </c>
      <c r="J59" s="32" t="str">
        <f t="shared" ref="J59:J80" si="19">IF(E59="SHIFT 2",I59,"")</f>
        <v/>
      </c>
      <c r="K59" s="32"/>
      <c r="L59" s="33">
        <f t="shared" ref="L59:L80" si="20">U59*$L$58</f>
        <v>0</v>
      </c>
      <c r="M59" s="32"/>
      <c r="N59" s="32"/>
      <c r="O59" s="34">
        <f t="shared" ref="O59:O80" si="21">SUM(H59:N59)</f>
        <v>0</v>
      </c>
      <c r="P59" s="127"/>
      <c r="Q59" s="44"/>
      <c r="R59" s="37">
        <f t="shared" ref="R59:R80" si="22">SUM(P59:Q59)</f>
        <v>0</v>
      </c>
      <c r="S59" s="38">
        <f t="shared" ref="S59:S80" si="23">O59-R59</f>
        <v>0</v>
      </c>
      <c r="T59" s="39" t="str">
        <f>IFERROR(__xludf.DUMMYFUNCTION("IMPORTRANGE(""https://docs.google.com/spreadsheets/d/17TnzcKnlaqlAyM_3lnNpgK5CAOPbscCCRVH50X8UulY/edit?usp=sharing"",""OKTOBER!L51:L69"")"),"")</f>
        <v/>
      </c>
      <c r="U59" s="42">
        <f>IFERROR(__xludf.DUMMYFUNCTION("IMPORTRANGE(""https://docs.google.com/spreadsheets/d/17TnzcKnlaqlAyM_3lnNpgK5CAOPbscCCRVH50X8UulY/edit?usp=sharing"",""OKTOBER!U51:U69"")"),0.0)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/>
      <c r="F60" s="52">
        <f>IFERROR(__xludf.DUMMYFUNCTION("""COMPUTED_VALUE"""),0.0)</f>
        <v>0</v>
      </c>
      <c r="G60" s="30">
        <v>70000.0</v>
      </c>
      <c r="H60" s="31">
        <f t="shared" si="17"/>
        <v>0</v>
      </c>
      <c r="I60" s="31">
        <f t="shared" si="18"/>
        <v>0</v>
      </c>
      <c r="J60" s="32" t="str">
        <f t="shared" si="19"/>
        <v/>
      </c>
      <c r="K60" s="41"/>
      <c r="L60" s="33">
        <f t="shared" si="20"/>
        <v>0</v>
      </c>
      <c r="M60" s="41"/>
      <c r="N60" s="41"/>
      <c r="O60" s="34">
        <f t="shared" si="21"/>
        <v>0</v>
      </c>
      <c r="P60" s="44"/>
      <c r="Q60" s="44"/>
      <c r="R60" s="37">
        <f t="shared" si="22"/>
        <v>0</v>
      </c>
      <c r="S60" s="38">
        <f t="shared" si="23"/>
        <v>0</v>
      </c>
      <c r="T60" s="39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/>
      <c r="D61" s="27" t="str">
        <f>IFERROR(__xludf.DUMMYFUNCTION("""COMPUTED_VALUE"""),"ADMIN")</f>
        <v>ADMIN</v>
      </c>
      <c r="E61" s="28"/>
      <c r="F61" s="52">
        <f>IFERROR(__xludf.DUMMYFUNCTION("""COMPUTED_VALUE"""),0.0)</f>
        <v>0</v>
      </c>
      <c r="G61" s="30">
        <v>70000.0</v>
      </c>
      <c r="H61" s="31">
        <f t="shared" si="17"/>
        <v>0</v>
      </c>
      <c r="I61" s="31">
        <f t="shared" si="18"/>
        <v>0</v>
      </c>
      <c r="J61" s="32" t="str">
        <f t="shared" si="19"/>
        <v/>
      </c>
      <c r="K61" s="41"/>
      <c r="L61" s="33">
        <f t="shared" si="20"/>
        <v>0</v>
      </c>
      <c r="M61" s="41"/>
      <c r="N61" s="41"/>
      <c r="O61" s="34">
        <f t="shared" si="21"/>
        <v>0</v>
      </c>
      <c r="P61" s="44"/>
      <c r="Q61" s="44"/>
      <c r="R61" s="37">
        <f t="shared" si="22"/>
        <v>0</v>
      </c>
      <c r="S61" s="38">
        <f t="shared" si="23"/>
        <v>0</v>
      </c>
      <c r="T61" s="39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IFERROR(__xludf.DUMMYFUNCTION("""COMPUTED_VALUE"""),"ANDRI")</f>
        <v>ANDRI</v>
      </c>
      <c r="D62" s="27" t="str">
        <f>IFERROR(__xludf.DUMMYFUNCTION("""COMPUTED_VALUE"""),"DESIGN BORDIR")</f>
        <v>DESIGN BORDIR</v>
      </c>
      <c r="E62" s="28"/>
      <c r="F62" s="52">
        <f>IFERROR(__xludf.DUMMYFUNCTION("""COMPUTED_VALUE"""),0.0)</f>
        <v>0</v>
      </c>
      <c r="G62" s="30">
        <v>70000.0</v>
      </c>
      <c r="H62" s="31">
        <f t="shared" si="17"/>
        <v>0</v>
      </c>
      <c r="I62" s="31">
        <f t="shared" si="18"/>
        <v>0</v>
      </c>
      <c r="J62" s="32" t="str">
        <f t="shared" si="19"/>
        <v/>
      </c>
      <c r="K62" s="32"/>
      <c r="L62" s="33">
        <f t="shared" si="20"/>
        <v>0</v>
      </c>
      <c r="M62" s="32"/>
      <c r="N62" s="32"/>
      <c r="O62" s="34">
        <f t="shared" si="21"/>
        <v>0</v>
      </c>
      <c r="P62" s="44"/>
      <c r="Q62" s="44"/>
      <c r="R62" s="37">
        <f t="shared" si="22"/>
        <v>0</v>
      </c>
      <c r="S62" s="38">
        <f t="shared" si="23"/>
        <v>0</v>
      </c>
      <c r="T62" s="39"/>
      <c r="U62" s="42">
        <f>IFERROR(__xludf.DUMMYFUNCTION("""COMPUTED_VALUE"""),0.0)</f>
        <v>0</v>
      </c>
      <c r="V62" s="63"/>
      <c r="W62" s="63"/>
    </row>
    <row r="63" ht="37.5" customHeight="1">
      <c r="B63" s="25">
        <v>5.0</v>
      </c>
      <c r="C63" s="26" t="str">
        <f>IFERROR(__xludf.DUMMYFUNCTION("""COMPUTED_VALUE"""),"ADIT")</f>
        <v>ADIT</v>
      </c>
      <c r="D63" s="27" t="str">
        <f>IFERROR(__xludf.DUMMYFUNCTION("""COMPUTED_VALUE"""),"CREATOR")</f>
        <v>CREATOR</v>
      </c>
      <c r="E63" s="28"/>
      <c r="F63" s="52">
        <f>IFERROR(__xludf.DUMMYFUNCTION("""COMPUTED_VALUE"""),0.0)</f>
        <v>0</v>
      </c>
      <c r="G63" s="30">
        <v>50000.0</v>
      </c>
      <c r="H63" s="31">
        <f t="shared" si="17"/>
        <v>0</v>
      </c>
      <c r="I63" s="31">
        <f t="shared" si="18"/>
        <v>0</v>
      </c>
      <c r="J63" s="32" t="str">
        <f t="shared" si="19"/>
        <v/>
      </c>
      <c r="K63" s="32"/>
      <c r="L63" s="33">
        <f t="shared" si="20"/>
        <v>0</v>
      </c>
      <c r="M63" s="32"/>
      <c r="N63" s="32"/>
      <c r="O63" s="34">
        <f t="shared" si="21"/>
        <v>0</v>
      </c>
      <c r="P63" s="44"/>
      <c r="Q63" s="44"/>
      <c r="R63" s="37">
        <f t="shared" si="22"/>
        <v>0</v>
      </c>
      <c r="S63" s="38">
        <f t="shared" si="23"/>
        <v>0</v>
      </c>
      <c r="T63" s="39"/>
      <c r="U63" s="42">
        <f>IFERROR(__xludf.DUMMYFUNCTION("""COMPUTED_VALUE"""),0.0)</f>
        <v>0</v>
      </c>
      <c r="V63" s="63"/>
      <c r="W63" s="63"/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/>
      <c r="F64" s="52">
        <f>IFERROR(__xludf.DUMMYFUNCTION("""COMPUTED_VALUE"""),0.0)</f>
        <v>0</v>
      </c>
      <c r="G64" s="30">
        <v>70000.0</v>
      </c>
      <c r="H64" s="31">
        <f t="shared" si="17"/>
        <v>0</v>
      </c>
      <c r="I64" s="31">
        <f t="shared" si="18"/>
        <v>0</v>
      </c>
      <c r="J64" s="32" t="str">
        <f t="shared" si="19"/>
        <v/>
      </c>
      <c r="K64" s="32"/>
      <c r="L64" s="33">
        <f t="shared" si="20"/>
        <v>0</v>
      </c>
      <c r="M64" s="32"/>
      <c r="N64" s="32"/>
      <c r="O64" s="34">
        <f t="shared" si="21"/>
        <v>0</v>
      </c>
      <c r="P64" s="44"/>
      <c r="Q64" s="44"/>
      <c r="R64" s="37">
        <f t="shared" si="22"/>
        <v>0</v>
      </c>
      <c r="S64" s="38">
        <f t="shared" si="23"/>
        <v>0</v>
      </c>
      <c r="T64" s="39"/>
      <c r="U64" s="42">
        <f>IFERROR(__xludf.DUMMYFUNCTION("""COMPUTED_VALUE"""),0.0)</f>
        <v>0</v>
      </c>
      <c r="V64" s="63"/>
      <c r="W64" s="63"/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/>
      <c r="F65" s="52">
        <f>IFERROR(__xludf.DUMMYFUNCTION("""COMPUTED_VALUE"""),0.0)</f>
        <v>0</v>
      </c>
      <c r="G65" s="30">
        <v>70000.0</v>
      </c>
      <c r="H65" s="31">
        <f t="shared" si="17"/>
        <v>0</v>
      </c>
      <c r="I65" s="31">
        <f t="shared" si="18"/>
        <v>0</v>
      </c>
      <c r="J65" s="32" t="str">
        <f t="shared" si="19"/>
        <v/>
      </c>
      <c r="K65" s="32"/>
      <c r="L65" s="33">
        <f t="shared" si="20"/>
        <v>0</v>
      </c>
      <c r="M65" s="32"/>
      <c r="N65" s="32"/>
      <c r="O65" s="34">
        <f t="shared" si="21"/>
        <v>0</v>
      </c>
      <c r="P65" s="44"/>
      <c r="Q65" s="44"/>
      <c r="R65" s="37">
        <f t="shared" si="22"/>
        <v>0</v>
      </c>
      <c r="S65" s="38">
        <f t="shared" si="23"/>
        <v>0</v>
      </c>
      <c r="T65" s="39"/>
      <c r="U65" s="42">
        <f>IFERROR(__xludf.DUMMYFUNCTION("""COMPUTED_VALUE"""),0.0)</f>
        <v>0</v>
      </c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/>
      <c r="F66" s="52">
        <f>IFERROR(__xludf.DUMMYFUNCTION("""COMPUTED_VALUE"""),0.0)</f>
        <v>0</v>
      </c>
      <c r="G66" s="30">
        <v>50000.0</v>
      </c>
      <c r="H66" s="31">
        <f t="shared" si="17"/>
        <v>0</v>
      </c>
      <c r="I66" s="149">
        <v>0.0</v>
      </c>
      <c r="J66" s="32" t="str">
        <f t="shared" si="19"/>
        <v/>
      </c>
      <c r="K66" s="32"/>
      <c r="L66" s="33">
        <f t="shared" si="20"/>
        <v>0</v>
      </c>
      <c r="M66" s="32"/>
      <c r="N66" s="32"/>
      <c r="O66" s="34">
        <f t="shared" si="21"/>
        <v>0</v>
      </c>
      <c r="P66" s="44"/>
      <c r="Q66" s="44"/>
      <c r="R66" s="37">
        <f t="shared" si="22"/>
        <v>0</v>
      </c>
      <c r="S66" s="38">
        <f t="shared" si="23"/>
        <v>0</v>
      </c>
      <c r="T66" s="39"/>
      <c r="U66" s="42">
        <f>IFERROR(__xludf.DUMMYFUNCTION("""COMPUTED_VALUE"""),0.0)</f>
        <v>0</v>
      </c>
    </row>
    <row r="67" ht="37.5" customHeight="1">
      <c r="B67" s="25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/>
      <c r="F67" s="52">
        <f>IFERROR(__xludf.DUMMYFUNCTION("""COMPUTED_VALUE"""),0.0)</f>
        <v>0</v>
      </c>
      <c r="G67" s="30">
        <v>50000.0</v>
      </c>
      <c r="H67" s="31">
        <f t="shared" si="17"/>
        <v>0</v>
      </c>
      <c r="I67" s="31">
        <f t="shared" ref="I67:I80" si="24">F67*10000</f>
        <v>0</v>
      </c>
      <c r="J67" s="32" t="str">
        <f t="shared" si="19"/>
        <v/>
      </c>
      <c r="K67" s="32"/>
      <c r="L67" s="33">
        <f t="shared" si="20"/>
        <v>0</v>
      </c>
      <c r="M67" s="32"/>
      <c r="N67" s="32"/>
      <c r="O67" s="34">
        <f t="shared" si="21"/>
        <v>0</v>
      </c>
      <c r="P67" s="44"/>
      <c r="Q67" s="44"/>
      <c r="R67" s="37">
        <f t="shared" si="22"/>
        <v>0</v>
      </c>
      <c r="S67" s="38">
        <f t="shared" si="23"/>
        <v>0</v>
      </c>
      <c r="T67" s="39"/>
      <c r="U67" s="42">
        <f>IFERROR(__xludf.DUMMYFUNCTION("""COMPUTED_VALUE"""),0.0)</f>
        <v>0</v>
      </c>
    </row>
    <row r="68" ht="37.5" customHeight="1">
      <c r="B68" s="25">
        <v>10.0</v>
      </c>
      <c r="C68" s="49" t="str">
        <f>IFERROR(__xludf.DUMMYFUNCTION("""COMPUTED_VALUE"""),"IIS")</f>
        <v>IIS</v>
      </c>
      <c r="D68" s="27" t="str">
        <f>IFERROR(__xludf.DUMMYFUNCTION("""COMPUTED_VALUE"""),"PACKING")</f>
        <v>PACKING</v>
      </c>
      <c r="E68" s="51"/>
      <c r="F68" s="52">
        <f>IFERROR(__xludf.DUMMYFUNCTION("""COMPUTED_VALUE"""),0.0)</f>
        <v>0</v>
      </c>
      <c r="G68" s="45"/>
      <c r="H68" s="31">
        <f t="shared" si="17"/>
        <v>0</v>
      </c>
      <c r="I68" s="31">
        <f t="shared" si="24"/>
        <v>0</v>
      </c>
      <c r="J68" s="32" t="str">
        <f t="shared" si="19"/>
        <v/>
      </c>
      <c r="K68" s="32"/>
      <c r="L68" s="33">
        <f t="shared" si="20"/>
        <v>0</v>
      </c>
      <c r="M68" s="32"/>
      <c r="N68" s="32"/>
      <c r="O68" s="34">
        <f t="shared" si="21"/>
        <v>0</v>
      </c>
      <c r="P68" s="44"/>
      <c r="Q68" s="44"/>
      <c r="R68" s="37">
        <f t="shared" si="22"/>
        <v>0</v>
      </c>
      <c r="S68" s="38">
        <f t="shared" si="23"/>
        <v>0</v>
      </c>
      <c r="T68" s="39"/>
      <c r="U68" s="42">
        <f>IFERROR(__xludf.DUMMYFUNCTION("""COMPUTED_VALUE"""),0.0)</f>
        <v>0</v>
      </c>
    </row>
    <row r="69" ht="37.5" customHeight="1">
      <c r="B69" s="25">
        <v>11.0</v>
      </c>
      <c r="C69" s="49"/>
      <c r="D69" s="50"/>
      <c r="E69" s="51"/>
      <c r="F69" s="52">
        <f>IFERROR(__xludf.DUMMYFUNCTION("""COMPUTED_VALUE"""),0.0)</f>
        <v>0</v>
      </c>
      <c r="G69" s="45"/>
      <c r="H69" s="31">
        <f t="shared" si="17"/>
        <v>0</v>
      </c>
      <c r="I69" s="31">
        <f t="shared" si="24"/>
        <v>0</v>
      </c>
      <c r="J69" s="32" t="str">
        <f t="shared" si="19"/>
        <v/>
      </c>
      <c r="K69" s="32"/>
      <c r="L69" s="33">
        <f t="shared" si="20"/>
        <v>0</v>
      </c>
      <c r="M69" s="32"/>
      <c r="N69" s="32"/>
      <c r="O69" s="34">
        <f t="shared" si="21"/>
        <v>0</v>
      </c>
      <c r="P69" s="44"/>
      <c r="Q69" s="44"/>
      <c r="R69" s="37">
        <f t="shared" si="22"/>
        <v>0</v>
      </c>
      <c r="S69" s="38">
        <f t="shared" si="23"/>
        <v>0</v>
      </c>
      <c r="T69" s="39"/>
      <c r="U69" s="42">
        <f>IFERROR(__xludf.DUMMYFUNCTION("""COMPUTED_VALUE"""),0.0)</f>
        <v>0</v>
      </c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7"/>
        <v>0</v>
      </c>
      <c r="I70" s="31">
        <f t="shared" si="24"/>
        <v>0</v>
      </c>
      <c r="J70" s="32" t="str">
        <f t="shared" si="19"/>
        <v/>
      </c>
      <c r="K70" s="32"/>
      <c r="L70" s="33">
        <f t="shared" si="20"/>
        <v>0</v>
      </c>
      <c r="M70" s="32"/>
      <c r="N70" s="32"/>
      <c r="O70" s="34">
        <f t="shared" si="21"/>
        <v>0</v>
      </c>
      <c r="P70" s="44"/>
      <c r="Q70" s="44"/>
      <c r="R70" s="37">
        <f t="shared" si="22"/>
        <v>0</v>
      </c>
      <c r="S70" s="38">
        <f t="shared" si="23"/>
        <v>0</v>
      </c>
      <c r="T70" s="39"/>
      <c r="U70" s="42">
        <f>IFERROR(__xludf.DUMMYFUNCTION("""COMPUTED_VALUE"""),0.0)</f>
        <v>0</v>
      </c>
    </row>
    <row r="71" ht="37.5" customHeight="1">
      <c r="B71" s="25">
        <v>13.0</v>
      </c>
      <c r="C71" s="49"/>
      <c r="D71" s="50"/>
      <c r="E71" s="51"/>
      <c r="F71" s="52">
        <f>IFERROR(__xludf.DUMMYFUNCTION("""COMPUTED_VALUE"""),0.0)</f>
        <v>0</v>
      </c>
      <c r="G71" s="45"/>
      <c r="H71" s="31">
        <f t="shared" si="17"/>
        <v>0</v>
      </c>
      <c r="I71" s="31">
        <f t="shared" si="24"/>
        <v>0</v>
      </c>
      <c r="J71" s="32" t="str">
        <f t="shared" si="19"/>
        <v/>
      </c>
      <c r="K71" s="32"/>
      <c r="L71" s="33">
        <f t="shared" si="20"/>
        <v>0</v>
      </c>
      <c r="M71" s="32"/>
      <c r="N71" s="32"/>
      <c r="O71" s="34">
        <f t="shared" si="21"/>
        <v>0</v>
      </c>
      <c r="P71" s="44"/>
      <c r="Q71" s="44"/>
      <c r="R71" s="37">
        <f t="shared" si="22"/>
        <v>0</v>
      </c>
      <c r="S71" s="38">
        <f t="shared" si="23"/>
        <v>0</v>
      </c>
      <c r="T71" s="39"/>
      <c r="U71" s="42">
        <f>IFERROR(__xludf.DUMMYFUNCTION("""COMPUTED_VALUE"""),0.0)</f>
        <v>0</v>
      </c>
    </row>
    <row r="72" ht="37.5" customHeight="1">
      <c r="B72" s="25">
        <v>14.0</v>
      </c>
      <c r="C72" s="49"/>
      <c r="D72" s="50"/>
      <c r="E72" s="51"/>
      <c r="F72" s="52">
        <f>IFERROR(__xludf.DUMMYFUNCTION("""COMPUTED_VALUE"""),0.0)</f>
        <v>0</v>
      </c>
      <c r="G72" s="45"/>
      <c r="H72" s="31">
        <f t="shared" si="17"/>
        <v>0</v>
      </c>
      <c r="I72" s="31">
        <f t="shared" si="24"/>
        <v>0</v>
      </c>
      <c r="J72" s="32" t="str">
        <f t="shared" si="19"/>
        <v/>
      </c>
      <c r="K72" s="32"/>
      <c r="L72" s="33">
        <f t="shared" si="20"/>
        <v>0</v>
      </c>
      <c r="M72" s="32"/>
      <c r="N72" s="32"/>
      <c r="O72" s="34">
        <f t="shared" si="21"/>
        <v>0</v>
      </c>
      <c r="P72" s="44"/>
      <c r="Q72" s="44"/>
      <c r="R72" s="37">
        <f t="shared" si="22"/>
        <v>0</v>
      </c>
      <c r="S72" s="38">
        <f t="shared" si="23"/>
        <v>0</v>
      </c>
      <c r="T72" s="39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7"/>
        <v>0</v>
      </c>
      <c r="I73" s="31">
        <f t="shared" si="24"/>
        <v>0</v>
      </c>
      <c r="J73" s="32" t="str">
        <f t="shared" si="19"/>
        <v/>
      </c>
      <c r="K73" s="32"/>
      <c r="L73" s="33">
        <f t="shared" si="20"/>
        <v>0</v>
      </c>
      <c r="M73" s="32"/>
      <c r="N73" s="32"/>
      <c r="O73" s="34">
        <f t="shared" si="21"/>
        <v>0</v>
      </c>
      <c r="P73" s="44"/>
      <c r="Q73" s="44"/>
      <c r="R73" s="37">
        <f t="shared" si="22"/>
        <v>0</v>
      </c>
      <c r="S73" s="38">
        <f t="shared" si="23"/>
        <v>0</v>
      </c>
      <c r="T73" s="39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7"/>
        <v>0</v>
      </c>
      <c r="I74" s="31">
        <f t="shared" si="24"/>
        <v>0</v>
      </c>
      <c r="J74" s="32" t="str">
        <f t="shared" si="19"/>
        <v/>
      </c>
      <c r="K74" s="32"/>
      <c r="L74" s="33">
        <f t="shared" si="20"/>
        <v>0</v>
      </c>
      <c r="M74" s="32"/>
      <c r="N74" s="32"/>
      <c r="O74" s="34">
        <f t="shared" si="21"/>
        <v>0</v>
      </c>
      <c r="P74" s="44"/>
      <c r="Q74" s="44"/>
      <c r="R74" s="37">
        <f t="shared" si="22"/>
        <v>0</v>
      </c>
      <c r="S74" s="38">
        <f t="shared" si="23"/>
        <v>0</v>
      </c>
      <c r="T74" s="39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7"/>
        <v>0</v>
      </c>
      <c r="I75" s="31">
        <f t="shared" si="24"/>
        <v>0</v>
      </c>
      <c r="J75" s="32" t="str">
        <f t="shared" si="19"/>
        <v/>
      </c>
      <c r="K75" s="32"/>
      <c r="L75" s="33">
        <f t="shared" si="20"/>
        <v>0</v>
      </c>
      <c r="M75" s="32"/>
      <c r="N75" s="32"/>
      <c r="O75" s="34">
        <f t="shared" si="21"/>
        <v>0</v>
      </c>
      <c r="P75" s="44"/>
      <c r="Q75" s="44"/>
      <c r="R75" s="37">
        <f t="shared" si="22"/>
        <v>0</v>
      </c>
      <c r="S75" s="38">
        <f t="shared" si="23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7"/>
        <v>0</v>
      </c>
      <c r="I76" s="31">
        <f t="shared" si="24"/>
        <v>0</v>
      </c>
      <c r="J76" s="32" t="str">
        <f t="shared" si="19"/>
        <v/>
      </c>
      <c r="K76" s="32"/>
      <c r="L76" s="33">
        <f t="shared" si="20"/>
        <v>0</v>
      </c>
      <c r="M76" s="32"/>
      <c r="N76" s="32"/>
      <c r="O76" s="34">
        <f t="shared" si="21"/>
        <v>0</v>
      </c>
      <c r="P76" s="44"/>
      <c r="Q76" s="44"/>
      <c r="R76" s="37">
        <f t="shared" si="22"/>
        <v>0</v>
      </c>
      <c r="S76" s="38">
        <f t="shared" si="23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7"/>
        <v>0</v>
      </c>
      <c r="I77" s="31">
        <f t="shared" si="24"/>
        <v>0</v>
      </c>
      <c r="J77" s="32" t="str">
        <f t="shared" si="19"/>
        <v/>
      </c>
      <c r="K77" s="32"/>
      <c r="L77" s="33">
        <f t="shared" si="20"/>
        <v>0</v>
      </c>
      <c r="M77" s="32"/>
      <c r="N77" s="32"/>
      <c r="O77" s="34">
        <f t="shared" si="21"/>
        <v>0</v>
      </c>
      <c r="P77" s="44"/>
      <c r="Q77" s="44"/>
      <c r="R77" s="37">
        <f t="shared" si="22"/>
        <v>0</v>
      </c>
      <c r="S77" s="38">
        <f t="shared" si="23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7"/>
        <v>0</v>
      </c>
      <c r="I78" s="31">
        <f t="shared" si="24"/>
        <v>0</v>
      </c>
      <c r="J78" s="32" t="str">
        <f t="shared" si="19"/>
        <v/>
      </c>
      <c r="K78" s="32"/>
      <c r="L78" s="33">
        <f t="shared" si="20"/>
        <v>0</v>
      </c>
      <c r="M78" s="32"/>
      <c r="N78" s="32"/>
      <c r="O78" s="34">
        <f t="shared" si="21"/>
        <v>0</v>
      </c>
      <c r="P78" s="44"/>
      <c r="Q78" s="44"/>
      <c r="R78" s="37">
        <f t="shared" si="22"/>
        <v>0</v>
      </c>
      <c r="S78" s="38">
        <f t="shared" si="23"/>
        <v>0</v>
      </c>
      <c r="T78" s="51"/>
      <c r="U78" s="42"/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7"/>
        <v>0</v>
      </c>
      <c r="I79" s="31">
        <f t="shared" si="24"/>
        <v>0</v>
      </c>
      <c r="J79" s="32" t="str">
        <f t="shared" si="19"/>
        <v/>
      </c>
      <c r="K79" s="32"/>
      <c r="L79" s="33">
        <f t="shared" si="20"/>
        <v>0</v>
      </c>
      <c r="M79" s="32"/>
      <c r="N79" s="32"/>
      <c r="O79" s="34">
        <f t="shared" si="21"/>
        <v>0</v>
      </c>
      <c r="P79" s="44"/>
      <c r="Q79" s="44"/>
      <c r="R79" s="37">
        <f t="shared" si="22"/>
        <v>0</v>
      </c>
      <c r="S79" s="38">
        <f t="shared" si="23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7"/>
        <v>0</v>
      </c>
      <c r="I80" s="31">
        <f t="shared" si="24"/>
        <v>0</v>
      </c>
      <c r="J80" s="32" t="str">
        <f t="shared" si="19"/>
        <v/>
      </c>
      <c r="K80" s="32"/>
      <c r="L80" s="33">
        <f t="shared" si="20"/>
        <v>0</v>
      </c>
      <c r="M80" s="32"/>
      <c r="N80" s="32"/>
      <c r="O80" s="34">
        <f t="shared" si="21"/>
        <v>0</v>
      </c>
      <c r="P80" s="44"/>
      <c r="Q80" s="44"/>
      <c r="R80" s="37">
        <f t="shared" si="22"/>
        <v>0</v>
      </c>
      <c r="S80" s="38">
        <f t="shared" si="23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IFERROR(__xludf.DUMMYFUNCTION("IMPORTRANGE(""https://docs.google.com/spreadsheets/d/17TnzcKnlaqlAyM_3lnNpgK5CAOPbscCCRVH50X8UulY/edit?usp=sharing"",""OKTOBER!B72"")"),"TANGGAL : 19-24 OKTOBER 2026")</f>
        <v>TANGGAL : 19-24 OKTOBER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IFERROR(__xludf.DUMMYFUNCTION("IMPORTRANGE(""https://docs.google.com/spreadsheets/d/17TnzcKnlaqlAyM_3lnNpgK5CAOPbscCCRVH50X8UulY/edit?usp=sharing"",""OKTOBER!B73:D91"")"),"EPUL")</f>
        <v>EPUL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IFERROR(__xludf.DUMMYFUNCTION("IMPORTRANGE(""https://docs.google.com/spreadsheets/d/17TnzcKnlaqlAyM_3lnNpgK5CAOPbscCCRVH50X8UulY/edit?usp=sharing"",""OKTOBER!K73:K91"")"),0.0)</f>
        <v>0</v>
      </c>
      <c r="G84" s="30">
        <v>110000.0</v>
      </c>
      <c r="H84" s="31">
        <f t="shared" ref="H84:H105" si="25">F84*G84</f>
        <v>0</v>
      </c>
      <c r="I84" s="31">
        <f t="shared" ref="I84:I105" si="26">F84*10000</f>
        <v>0</v>
      </c>
      <c r="J84" s="66"/>
      <c r="K84" s="32"/>
      <c r="L84" s="33">
        <f t="shared" ref="L84:L105" si="27">U84*$L$83</f>
        <v>0</v>
      </c>
      <c r="M84" s="32"/>
      <c r="N84" s="32"/>
      <c r="O84" s="34">
        <f t="shared" ref="O84:O105" si="28">SUM(H84:N84)</f>
        <v>0</v>
      </c>
      <c r="P84" s="44"/>
      <c r="Q84" s="44"/>
      <c r="R84" s="37">
        <f t="shared" ref="R84:R105" si="29">SUM(P84:Q84)</f>
        <v>0</v>
      </c>
      <c r="S84" s="38">
        <f t="shared" ref="S84:S105" si="30">O84-R84</f>
        <v>0</v>
      </c>
      <c r="T84" s="39" t="str">
        <f>IFERROR(__xludf.DUMMYFUNCTION("IMPORTRANGE(""https://docs.google.com/spreadsheets/d/17TnzcKnlaqlAyM_3lnNpgK5CAOPbscCCRVH50X8UulY/edit?usp=sharing"",""OKTOBER!L73:L91"")"),"")</f>
        <v/>
      </c>
      <c r="U84" s="42">
        <f>IFERROR(__xludf.DUMMYFUNCTION("IMPORTRANGE(""https://docs.google.com/spreadsheets/d/17TnzcKnlaqlAyM_3lnNpgK5CAOPbscCCRVH50X8UulY/edit?usp=sharing"",""OKTOBER!U73:U91"")"),0.0)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IFERROR(__xludf.DUMMYFUNCTION("""COMPUTED_VALUE"""),0.0)</f>
        <v>0</v>
      </c>
      <c r="G85" s="30">
        <v>70000.0</v>
      </c>
      <c r="H85" s="31">
        <f t="shared" si="25"/>
        <v>0</v>
      </c>
      <c r="I85" s="31">
        <f t="shared" si="26"/>
        <v>0</v>
      </c>
      <c r="J85" s="32" t="str">
        <f t="shared" ref="J85:J105" si="31">IF(E85="SHIFT 2",I85,"")</f>
        <v/>
      </c>
      <c r="K85" s="32"/>
      <c r="L85" s="33">
        <f t="shared" si="27"/>
        <v>0</v>
      </c>
      <c r="M85" s="32"/>
      <c r="N85" s="32"/>
      <c r="O85" s="34">
        <f t="shared" si="28"/>
        <v>0</v>
      </c>
      <c r="P85" s="44"/>
      <c r="Q85" s="44"/>
      <c r="R85" s="37">
        <f t="shared" si="29"/>
        <v>0</v>
      </c>
      <c r="S85" s="38">
        <f t="shared" si="30"/>
        <v>0</v>
      </c>
      <c r="T85" s="39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/>
      <c r="D86" s="27" t="str">
        <f>IFERROR(__xludf.DUMMYFUNCTION("""COMPUTED_VALUE"""),"ADMIN")</f>
        <v>ADMIN</v>
      </c>
      <c r="E86" s="28"/>
      <c r="F86" s="52">
        <f>IFERROR(__xludf.DUMMYFUNCTION("""COMPUTED_VALUE"""),0.0)</f>
        <v>0</v>
      </c>
      <c r="G86" s="30">
        <v>70000.0</v>
      </c>
      <c r="H86" s="31">
        <f t="shared" si="25"/>
        <v>0</v>
      </c>
      <c r="I86" s="31">
        <f t="shared" si="26"/>
        <v>0</v>
      </c>
      <c r="J86" s="32" t="str">
        <f t="shared" si="31"/>
        <v/>
      </c>
      <c r="K86" s="41"/>
      <c r="L86" s="33">
        <f t="shared" si="27"/>
        <v>0</v>
      </c>
      <c r="M86" s="41"/>
      <c r="N86" s="41"/>
      <c r="O86" s="34">
        <f t="shared" si="28"/>
        <v>0</v>
      </c>
      <c r="P86" s="44"/>
      <c r="Q86" s="44"/>
      <c r="R86" s="37">
        <f t="shared" si="29"/>
        <v>0</v>
      </c>
      <c r="S86" s="38">
        <f t="shared" si="30"/>
        <v>0</v>
      </c>
      <c r="T86" s="39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IFERROR(__xludf.DUMMYFUNCTION("""COMPUTED_VALUE"""),"ANDRI")</f>
        <v>ANDRI</v>
      </c>
      <c r="D87" s="27" t="str">
        <f>IFERROR(__xludf.DUMMYFUNCTION("""COMPUTED_VALUE"""),"DESIGN BORDIR")</f>
        <v>DESIGN BORDIR</v>
      </c>
      <c r="E87" s="28"/>
      <c r="F87" s="52">
        <f>IFERROR(__xludf.DUMMYFUNCTION("""COMPUTED_VALUE"""),0.0)</f>
        <v>0</v>
      </c>
      <c r="G87" s="30">
        <v>70000.0</v>
      </c>
      <c r="H87" s="31">
        <f t="shared" si="25"/>
        <v>0</v>
      </c>
      <c r="I87" s="31">
        <f t="shared" si="26"/>
        <v>0</v>
      </c>
      <c r="J87" s="32" t="str">
        <f t="shared" si="31"/>
        <v/>
      </c>
      <c r="K87" s="41"/>
      <c r="L87" s="33">
        <f t="shared" si="27"/>
        <v>0</v>
      </c>
      <c r="M87" s="41"/>
      <c r="N87" s="41"/>
      <c r="O87" s="34">
        <f t="shared" si="28"/>
        <v>0</v>
      </c>
      <c r="P87" s="44"/>
      <c r="Q87" s="44"/>
      <c r="R87" s="37">
        <f t="shared" si="29"/>
        <v>0</v>
      </c>
      <c r="S87" s="38">
        <f t="shared" si="30"/>
        <v>0</v>
      </c>
      <c r="T87" s="39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IFERROR(__xludf.DUMMYFUNCTION("""COMPUTED_VALUE"""),"ADIT")</f>
        <v>ADIT</v>
      </c>
      <c r="D88" s="27" t="str">
        <f>IFERROR(__xludf.DUMMYFUNCTION("""COMPUTED_VALUE"""),"CREATOR")</f>
        <v>CREATOR</v>
      </c>
      <c r="E88" s="28"/>
      <c r="F88" s="52">
        <f>IFERROR(__xludf.DUMMYFUNCTION("""COMPUTED_VALUE"""),0.0)</f>
        <v>0</v>
      </c>
      <c r="G88" s="30">
        <v>50000.0</v>
      </c>
      <c r="H88" s="31">
        <f t="shared" si="25"/>
        <v>0</v>
      </c>
      <c r="I88" s="31">
        <f t="shared" si="26"/>
        <v>0</v>
      </c>
      <c r="J88" s="32" t="str">
        <f t="shared" si="31"/>
        <v/>
      </c>
      <c r="K88" s="32"/>
      <c r="L88" s="33">
        <f t="shared" si="27"/>
        <v>0</v>
      </c>
      <c r="M88" s="32"/>
      <c r="N88" s="32"/>
      <c r="O88" s="34">
        <f t="shared" si="28"/>
        <v>0</v>
      </c>
      <c r="P88" s="44"/>
      <c r="Q88" s="44"/>
      <c r="R88" s="37">
        <f t="shared" si="29"/>
        <v>0</v>
      </c>
      <c r="S88" s="38">
        <f t="shared" si="30"/>
        <v>0</v>
      </c>
      <c r="T88" s="39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IFERROR(__xludf.DUMMYFUNCTION("""COMPUTED_VALUE"""),0.0)</f>
        <v>0</v>
      </c>
      <c r="G89" s="30">
        <v>70000.0</v>
      </c>
      <c r="H89" s="31">
        <f t="shared" si="25"/>
        <v>0</v>
      </c>
      <c r="I89" s="31">
        <f t="shared" si="26"/>
        <v>0</v>
      </c>
      <c r="J89" s="32" t="str">
        <f t="shared" si="31"/>
        <v/>
      </c>
      <c r="K89" s="32"/>
      <c r="L89" s="33">
        <f t="shared" si="27"/>
        <v>0</v>
      </c>
      <c r="M89" s="32"/>
      <c r="N89" s="32"/>
      <c r="O89" s="34">
        <f t="shared" si="28"/>
        <v>0</v>
      </c>
      <c r="P89" s="44"/>
      <c r="Q89" s="44"/>
      <c r="R89" s="37">
        <f t="shared" si="29"/>
        <v>0</v>
      </c>
      <c r="S89" s="38">
        <f t="shared" si="30"/>
        <v>0</v>
      </c>
      <c r="T89" s="39"/>
      <c r="U89" s="42">
        <f>IFERROR(__xludf.DUMMYFUNCTION("""COMPUTED_VALUE"""),0.0)</f>
        <v>0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IFERROR(__xludf.DUMMYFUNCTION("""COMPUTED_VALUE"""),0.0)</f>
        <v>0</v>
      </c>
      <c r="G90" s="30">
        <v>70000.0</v>
      </c>
      <c r="H90" s="31">
        <f t="shared" si="25"/>
        <v>0</v>
      </c>
      <c r="I90" s="31">
        <f t="shared" si="26"/>
        <v>0</v>
      </c>
      <c r="J90" s="32" t="str">
        <f t="shared" si="31"/>
        <v/>
      </c>
      <c r="K90" s="32"/>
      <c r="L90" s="33">
        <f t="shared" si="27"/>
        <v>0</v>
      </c>
      <c r="M90" s="32"/>
      <c r="N90" s="32"/>
      <c r="O90" s="34">
        <f t="shared" si="28"/>
        <v>0</v>
      </c>
      <c r="P90" s="44"/>
      <c r="Q90" s="44"/>
      <c r="R90" s="37">
        <f t="shared" si="29"/>
        <v>0</v>
      </c>
      <c r="S90" s="38">
        <f t="shared" si="30"/>
        <v>0</v>
      </c>
      <c r="T90" s="39"/>
      <c r="U90" s="42">
        <f>IFERROR(__xludf.DUMMYFUNCTION("""COMPUTED_VALUE"""),0.0)</f>
        <v>0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IFERROR(__xludf.DUMMYFUNCTION("""COMPUTED_VALUE"""),0.0)</f>
        <v>0</v>
      </c>
      <c r="G91" s="30">
        <v>50000.0</v>
      </c>
      <c r="H91" s="31">
        <f t="shared" si="25"/>
        <v>0</v>
      </c>
      <c r="I91" s="31">
        <f t="shared" si="26"/>
        <v>0</v>
      </c>
      <c r="J91" s="32" t="str">
        <f t="shared" si="31"/>
        <v/>
      </c>
      <c r="K91" s="32"/>
      <c r="L91" s="33">
        <f t="shared" si="27"/>
        <v>0</v>
      </c>
      <c r="M91" s="32"/>
      <c r="N91" s="32"/>
      <c r="O91" s="34">
        <f t="shared" si="28"/>
        <v>0</v>
      </c>
      <c r="P91" s="44"/>
      <c r="Q91" s="44"/>
      <c r="R91" s="37">
        <f t="shared" si="29"/>
        <v>0</v>
      </c>
      <c r="S91" s="38">
        <f t="shared" si="30"/>
        <v>0</v>
      </c>
      <c r="T91" s="39"/>
      <c r="U91" s="42">
        <f>IFERROR(__xludf.DUMMYFUNCTION("""COMPUTED_VALUE"""),0.0)</f>
        <v>0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/>
      <c r="F92" s="52">
        <f>IFERROR(__xludf.DUMMYFUNCTION("""COMPUTED_VALUE"""),0.0)</f>
        <v>0</v>
      </c>
      <c r="G92" s="30">
        <v>50000.0</v>
      </c>
      <c r="H92" s="31">
        <f t="shared" si="25"/>
        <v>0</v>
      </c>
      <c r="I92" s="31">
        <f t="shared" si="26"/>
        <v>0</v>
      </c>
      <c r="J92" s="32" t="str">
        <f t="shared" si="31"/>
        <v/>
      </c>
      <c r="K92" s="32"/>
      <c r="L92" s="33">
        <f t="shared" si="27"/>
        <v>0</v>
      </c>
      <c r="M92" s="32"/>
      <c r="N92" s="32"/>
      <c r="O92" s="34">
        <f t="shared" si="28"/>
        <v>0</v>
      </c>
      <c r="P92" s="44"/>
      <c r="Q92" s="44"/>
      <c r="R92" s="37">
        <f t="shared" si="29"/>
        <v>0</v>
      </c>
      <c r="S92" s="38">
        <f t="shared" si="30"/>
        <v>0</v>
      </c>
      <c r="T92" s="39"/>
      <c r="U92" s="42">
        <f>IFERROR(__xludf.DUMMYFUNCTION("""COMPUTED_VALUE"""),0.0)</f>
        <v>0</v>
      </c>
    </row>
    <row r="93" ht="37.5" customHeight="1">
      <c r="B93" s="25">
        <v>10.0</v>
      </c>
      <c r="C93" s="49" t="str">
        <f>IFERROR(__xludf.DUMMYFUNCTION("""COMPUTED_VALUE"""),"IIS")</f>
        <v>IIS</v>
      </c>
      <c r="D93" s="27" t="str">
        <f>IFERROR(__xludf.DUMMYFUNCTION("""COMPUTED_VALUE"""),"PACKING")</f>
        <v>PACKING</v>
      </c>
      <c r="E93" s="51"/>
      <c r="F93" s="52">
        <f>IFERROR(__xludf.DUMMYFUNCTION("""COMPUTED_VALUE"""),0.0)</f>
        <v>0</v>
      </c>
      <c r="G93" s="45"/>
      <c r="H93" s="31">
        <f t="shared" si="25"/>
        <v>0</v>
      </c>
      <c r="I93" s="31">
        <f t="shared" si="26"/>
        <v>0</v>
      </c>
      <c r="J93" s="32" t="str">
        <f t="shared" si="31"/>
        <v/>
      </c>
      <c r="K93" s="32"/>
      <c r="L93" s="33">
        <f t="shared" si="27"/>
        <v>0</v>
      </c>
      <c r="M93" s="32"/>
      <c r="N93" s="32"/>
      <c r="O93" s="34">
        <f t="shared" si="28"/>
        <v>0</v>
      </c>
      <c r="P93" s="44"/>
      <c r="Q93" s="44"/>
      <c r="R93" s="37">
        <f t="shared" si="29"/>
        <v>0</v>
      </c>
      <c r="S93" s="38">
        <f t="shared" si="30"/>
        <v>0</v>
      </c>
      <c r="T93" s="39"/>
      <c r="U93" s="42">
        <f>IFERROR(__xludf.DUMMYFUNCTION("""COMPUTED_VALUE"""),0.0)</f>
        <v>0</v>
      </c>
    </row>
    <row r="94" ht="37.5" customHeight="1">
      <c r="B94" s="25">
        <v>11.0</v>
      </c>
      <c r="C94" s="49"/>
      <c r="D94" s="50"/>
      <c r="E94" s="51"/>
      <c r="F94" s="52">
        <f>IFERROR(__xludf.DUMMYFUNCTION("""COMPUTED_VALUE"""),0.0)</f>
        <v>0</v>
      </c>
      <c r="G94" s="45"/>
      <c r="H94" s="31">
        <f t="shared" si="25"/>
        <v>0</v>
      </c>
      <c r="I94" s="31">
        <f t="shared" si="26"/>
        <v>0</v>
      </c>
      <c r="J94" s="32" t="str">
        <f t="shared" si="31"/>
        <v/>
      </c>
      <c r="K94" s="32"/>
      <c r="L94" s="33">
        <f t="shared" si="27"/>
        <v>0</v>
      </c>
      <c r="M94" s="32"/>
      <c r="N94" s="32"/>
      <c r="O94" s="34">
        <f t="shared" si="28"/>
        <v>0</v>
      </c>
      <c r="P94" s="44"/>
      <c r="Q94" s="44"/>
      <c r="R94" s="37">
        <f t="shared" si="29"/>
        <v>0</v>
      </c>
      <c r="S94" s="38">
        <f t="shared" si="30"/>
        <v>0</v>
      </c>
      <c r="T94" s="39"/>
      <c r="U94" s="42">
        <f>IFERROR(__xludf.DUMMYFUNCTION("""COMPUTED_VALUE"""),0.0)</f>
        <v>0</v>
      </c>
    </row>
    <row r="95" ht="37.5" customHeight="1">
      <c r="B95" s="25">
        <v>12.0</v>
      </c>
      <c r="C95" s="49"/>
      <c r="D95" s="50"/>
      <c r="E95" s="51"/>
      <c r="F95" s="52">
        <f>IFERROR(__xludf.DUMMYFUNCTION("""COMPUTED_VALUE"""),0.0)</f>
        <v>0</v>
      </c>
      <c r="G95" s="45"/>
      <c r="H95" s="31">
        <f t="shared" si="25"/>
        <v>0</v>
      </c>
      <c r="I95" s="31">
        <f t="shared" si="26"/>
        <v>0</v>
      </c>
      <c r="J95" s="32" t="str">
        <f t="shared" si="31"/>
        <v/>
      </c>
      <c r="K95" s="32"/>
      <c r="L95" s="33">
        <f t="shared" si="27"/>
        <v>0</v>
      </c>
      <c r="M95" s="32"/>
      <c r="N95" s="32"/>
      <c r="O95" s="34">
        <f t="shared" si="28"/>
        <v>0</v>
      </c>
      <c r="P95" s="44"/>
      <c r="Q95" s="44"/>
      <c r="R95" s="37">
        <f t="shared" si="29"/>
        <v>0</v>
      </c>
      <c r="S95" s="38">
        <f t="shared" si="30"/>
        <v>0</v>
      </c>
      <c r="T95" s="39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51"/>
      <c r="F96" s="52">
        <f>IFERROR(__xludf.DUMMYFUNCTION("""COMPUTED_VALUE"""),0.0)</f>
        <v>0</v>
      </c>
      <c r="G96" s="45"/>
      <c r="H96" s="31">
        <f t="shared" si="25"/>
        <v>0</v>
      </c>
      <c r="I96" s="31">
        <f t="shared" si="26"/>
        <v>0</v>
      </c>
      <c r="J96" s="32" t="str">
        <f t="shared" si="31"/>
        <v/>
      </c>
      <c r="K96" s="32"/>
      <c r="L96" s="33">
        <f t="shared" si="27"/>
        <v>0</v>
      </c>
      <c r="M96" s="32"/>
      <c r="N96" s="32"/>
      <c r="O96" s="34">
        <f t="shared" si="28"/>
        <v>0</v>
      </c>
      <c r="P96" s="44"/>
      <c r="Q96" s="44"/>
      <c r="R96" s="37">
        <f t="shared" si="29"/>
        <v>0</v>
      </c>
      <c r="S96" s="38">
        <f t="shared" si="30"/>
        <v>0</v>
      </c>
      <c r="T96" s="39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51"/>
      <c r="F97" s="52">
        <f>IFERROR(__xludf.DUMMYFUNCTION("""COMPUTED_VALUE"""),0.0)</f>
        <v>0</v>
      </c>
      <c r="G97" s="45"/>
      <c r="H97" s="31">
        <f t="shared" si="25"/>
        <v>0</v>
      </c>
      <c r="I97" s="31">
        <f t="shared" si="26"/>
        <v>0</v>
      </c>
      <c r="J97" s="32" t="str">
        <f t="shared" si="31"/>
        <v/>
      </c>
      <c r="K97" s="32"/>
      <c r="L97" s="33">
        <f t="shared" si="27"/>
        <v>0</v>
      </c>
      <c r="M97" s="32"/>
      <c r="N97" s="32"/>
      <c r="O97" s="34">
        <f t="shared" si="28"/>
        <v>0</v>
      </c>
      <c r="P97" s="44"/>
      <c r="Q97" s="44"/>
      <c r="R97" s="37">
        <f t="shared" si="29"/>
        <v>0</v>
      </c>
      <c r="S97" s="38">
        <f t="shared" si="30"/>
        <v>0</v>
      </c>
      <c r="T97" s="39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0"/>
      <c r="E98" s="51"/>
      <c r="F98" s="52">
        <f>IFERROR(__xludf.DUMMYFUNCTION("""COMPUTED_VALUE"""),0.0)</f>
        <v>0</v>
      </c>
      <c r="G98" s="45"/>
      <c r="H98" s="31">
        <f t="shared" si="25"/>
        <v>0</v>
      </c>
      <c r="I98" s="31">
        <f t="shared" si="26"/>
        <v>0</v>
      </c>
      <c r="J98" s="32" t="str">
        <f t="shared" si="31"/>
        <v/>
      </c>
      <c r="K98" s="32"/>
      <c r="L98" s="33">
        <f t="shared" si="27"/>
        <v>0</v>
      </c>
      <c r="M98" s="32"/>
      <c r="N98" s="32"/>
      <c r="O98" s="34">
        <f t="shared" si="28"/>
        <v>0</v>
      </c>
      <c r="P98" s="44"/>
      <c r="Q98" s="44"/>
      <c r="R98" s="37">
        <f t="shared" si="29"/>
        <v>0</v>
      </c>
      <c r="S98" s="38">
        <f t="shared" si="30"/>
        <v>0</v>
      </c>
      <c r="T98" s="39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5"/>
        <v>0</v>
      </c>
      <c r="I99" s="31">
        <f t="shared" si="26"/>
        <v>0</v>
      </c>
      <c r="J99" s="32" t="str">
        <f t="shared" si="31"/>
        <v/>
      </c>
      <c r="K99" s="32"/>
      <c r="L99" s="33">
        <f t="shared" si="27"/>
        <v>0</v>
      </c>
      <c r="M99" s="32"/>
      <c r="N99" s="32"/>
      <c r="O99" s="34">
        <f t="shared" si="28"/>
        <v>0</v>
      </c>
      <c r="P99" s="44"/>
      <c r="Q99" s="44"/>
      <c r="R99" s="37">
        <f t="shared" si="29"/>
        <v>0</v>
      </c>
      <c r="S99" s="38">
        <f t="shared" si="30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5"/>
        <v>0</v>
      </c>
      <c r="I100" s="31">
        <f t="shared" si="26"/>
        <v>0</v>
      </c>
      <c r="J100" s="32" t="str">
        <f t="shared" si="31"/>
        <v/>
      </c>
      <c r="K100" s="32"/>
      <c r="L100" s="33">
        <f t="shared" si="27"/>
        <v>0</v>
      </c>
      <c r="M100" s="32"/>
      <c r="N100" s="32"/>
      <c r="O100" s="34">
        <f t="shared" si="28"/>
        <v>0</v>
      </c>
      <c r="P100" s="44"/>
      <c r="Q100" s="44"/>
      <c r="R100" s="37">
        <f t="shared" si="29"/>
        <v>0</v>
      </c>
      <c r="S100" s="38">
        <f t="shared" si="30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5"/>
        <v>0</v>
      </c>
      <c r="I101" s="31">
        <f t="shared" si="26"/>
        <v>0</v>
      </c>
      <c r="J101" s="32" t="str">
        <f t="shared" si="31"/>
        <v/>
      </c>
      <c r="K101" s="32"/>
      <c r="L101" s="33">
        <f t="shared" si="27"/>
        <v>0</v>
      </c>
      <c r="M101" s="32"/>
      <c r="N101" s="32"/>
      <c r="O101" s="34">
        <f t="shared" si="28"/>
        <v>0</v>
      </c>
      <c r="P101" s="44"/>
      <c r="Q101" s="44"/>
      <c r="R101" s="37">
        <f t="shared" si="29"/>
        <v>0</v>
      </c>
      <c r="S101" s="38">
        <f t="shared" si="30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5"/>
        <v>0</v>
      </c>
      <c r="I102" s="31">
        <f t="shared" si="26"/>
        <v>0</v>
      </c>
      <c r="J102" s="32" t="str">
        <f t="shared" si="31"/>
        <v/>
      </c>
      <c r="K102" s="32"/>
      <c r="L102" s="33">
        <f t="shared" si="27"/>
        <v>0</v>
      </c>
      <c r="M102" s="32"/>
      <c r="N102" s="32"/>
      <c r="O102" s="34">
        <f t="shared" si="28"/>
        <v>0</v>
      </c>
      <c r="P102" s="44"/>
      <c r="Q102" s="44"/>
      <c r="R102" s="37">
        <f t="shared" si="29"/>
        <v>0</v>
      </c>
      <c r="S102" s="38">
        <f t="shared" si="30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5"/>
        <v>0</v>
      </c>
      <c r="I103" s="31">
        <f t="shared" si="26"/>
        <v>0</v>
      </c>
      <c r="J103" s="32" t="str">
        <f t="shared" si="31"/>
        <v/>
      </c>
      <c r="K103" s="32"/>
      <c r="L103" s="33">
        <f t="shared" si="27"/>
        <v>0</v>
      </c>
      <c r="M103" s="32"/>
      <c r="N103" s="32"/>
      <c r="O103" s="34">
        <f t="shared" si="28"/>
        <v>0</v>
      </c>
      <c r="P103" s="44"/>
      <c r="Q103" s="44"/>
      <c r="R103" s="37">
        <f t="shared" si="29"/>
        <v>0</v>
      </c>
      <c r="S103" s="38">
        <f t="shared" si="30"/>
        <v>0</v>
      </c>
      <c r="T103" s="51"/>
      <c r="U103" s="42"/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5"/>
        <v>0</v>
      </c>
      <c r="I104" s="31">
        <f t="shared" si="26"/>
        <v>0</v>
      </c>
      <c r="J104" s="32" t="str">
        <f t="shared" si="31"/>
        <v/>
      </c>
      <c r="K104" s="32"/>
      <c r="L104" s="33">
        <f t="shared" si="27"/>
        <v>0</v>
      </c>
      <c r="M104" s="32"/>
      <c r="N104" s="32"/>
      <c r="O104" s="34">
        <f t="shared" si="28"/>
        <v>0</v>
      </c>
      <c r="P104" s="44"/>
      <c r="Q104" s="44"/>
      <c r="R104" s="37">
        <f t="shared" si="29"/>
        <v>0</v>
      </c>
      <c r="S104" s="38">
        <f t="shared" si="30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5"/>
        <v>0</v>
      </c>
      <c r="I105" s="31">
        <f t="shared" si="26"/>
        <v>0</v>
      </c>
      <c r="J105" s="32" t="str">
        <f t="shared" si="31"/>
        <v/>
      </c>
      <c r="K105" s="32"/>
      <c r="L105" s="33">
        <f t="shared" si="27"/>
        <v>0</v>
      </c>
      <c r="M105" s="32"/>
      <c r="N105" s="32"/>
      <c r="O105" s="34">
        <f t="shared" si="28"/>
        <v>0</v>
      </c>
      <c r="P105" s="44"/>
      <c r="Q105" s="44"/>
      <c r="R105" s="37">
        <f t="shared" si="29"/>
        <v>0</v>
      </c>
      <c r="S105" s="38">
        <f t="shared" si="30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0</v>
      </c>
      <c r="T106" s="57"/>
      <c r="U106" s="58"/>
    </row>
    <row r="107" ht="37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IFERROR(__xludf.DUMMYFUNCTION("IMPORTRANGE(""https://docs.google.com/spreadsheets/d/17TnzcKnlaqlAyM_3lnNpgK5CAOPbscCCRVH50X8UulY/edit?usp=sharing"",""OKTOBER!B94"")"),"TANGGAL : 26-31 OKTOBER 2026")</f>
        <v>TANGGAL : 26-31 OKTOBER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IFERROR(__xludf.DUMMYFUNCTION("IMPORTRANGE(""https://docs.google.com/spreadsheets/d/17TnzcKnlaqlAyM_3lnNpgK5CAOPbscCCRVH50X8UulY/edit?usp=sharing"",""OKTOBER!B95:D113"")"),"EPUL")</f>
        <v>EPUL</v>
      </c>
      <c r="D109" s="27" t="str">
        <f>IFERROR(__xludf.DUMMYFUNCTION("""COMPUTED_VALUE"""),"KEPALA")</f>
        <v>KEPALA</v>
      </c>
      <c r="E109" s="28"/>
      <c r="F109" s="52">
        <f>IFERROR(__xludf.DUMMYFUNCTION("IMPORTRANGE(""https://docs.google.com/spreadsheets/d/17TnzcKnlaqlAyM_3lnNpgK5CAOPbscCCRVH50X8UulY/edit?usp=sharing"",""OKTOBER!K95:K113"")"),0.0)</f>
        <v>0</v>
      </c>
      <c r="G109" s="30">
        <v>110000.0</v>
      </c>
      <c r="H109" s="31">
        <f t="shared" ref="H109:H130" si="32">F109*G109</f>
        <v>0</v>
      </c>
      <c r="I109" s="31">
        <f t="shared" ref="I109:I130" si="33">F109*10000</f>
        <v>0</v>
      </c>
      <c r="J109" s="32" t="str">
        <f t="shared" ref="J109:J130" si="34">IF(E109="SHIFT 2",I109,"")</f>
        <v/>
      </c>
      <c r="K109" s="32"/>
      <c r="L109" s="33">
        <f t="shared" ref="L109:L130" si="35">U109*$L$108</f>
        <v>0</v>
      </c>
      <c r="M109" s="32"/>
      <c r="N109" s="32"/>
      <c r="O109" s="34">
        <f t="shared" ref="O109:O130" si="36">SUM(H109:N109)</f>
        <v>0</v>
      </c>
      <c r="P109" s="44"/>
      <c r="Q109" s="44"/>
      <c r="R109" s="37">
        <f t="shared" ref="R109:R130" si="37">SUM(P109:Q109)</f>
        <v>0</v>
      </c>
      <c r="S109" s="38">
        <f t="shared" ref="S109:S130" si="38">O109-R109</f>
        <v>0</v>
      </c>
      <c r="T109" s="39" t="str">
        <f>IFERROR(__xludf.DUMMYFUNCTION("IMPORTRANGE(""https://docs.google.com/spreadsheets/d/17TnzcKnlaqlAyM_3lnNpgK5CAOPbscCCRVH50X8UulY/edit?usp=sharing"",""OKTOBER!L95:L113"")"),"")</f>
        <v/>
      </c>
      <c r="U109" s="42">
        <f>IFERROR(__xludf.DUMMYFUNCTION("IMPORTRANGE(""https://docs.google.com/spreadsheets/d/17TnzcKnlaqlAyM_3lnNpgK5CAOPbscCCRVH50X8UulY/edit?usp=sharing"",""OKTOBER!U95:U113"")"),0.0)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/>
      <c r="F110" s="52">
        <f>IFERROR(__xludf.DUMMYFUNCTION("""COMPUTED_VALUE"""),0.0)</f>
        <v>0</v>
      </c>
      <c r="G110" s="30">
        <v>70000.0</v>
      </c>
      <c r="H110" s="31">
        <f t="shared" si="32"/>
        <v>0</v>
      </c>
      <c r="I110" s="31">
        <f t="shared" si="33"/>
        <v>0</v>
      </c>
      <c r="J110" s="32" t="str">
        <f t="shared" si="34"/>
        <v/>
      </c>
      <c r="K110" s="41"/>
      <c r="L110" s="33">
        <f t="shared" si="35"/>
        <v>0</v>
      </c>
      <c r="M110" s="41"/>
      <c r="N110" s="41"/>
      <c r="O110" s="34">
        <f t="shared" si="36"/>
        <v>0</v>
      </c>
      <c r="P110" s="44"/>
      <c r="Q110" s="44"/>
      <c r="R110" s="37">
        <f t="shared" si="37"/>
        <v>0</v>
      </c>
      <c r="S110" s="38">
        <f t="shared" si="38"/>
        <v>0</v>
      </c>
      <c r="T110" s="39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/>
      <c r="D111" s="27" t="str">
        <f>IFERROR(__xludf.DUMMYFUNCTION("""COMPUTED_VALUE"""),"ADMIN")</f>
        <v>ADMIN</v>
      </c>
      <c r="E111" s="28"/>
      <c r="F111" s="52">
        <f>IFERROR(__xludf.DUMMYFUNCTION("""COMPUTED_VALUE"""),0.0)</f>
        <v>0</v>
      </c>
      <c r="G111" s="30">
        <v>70000.0</v>
      </c>
      <c r="H111" s="31">
        <f t="shared" si="32"/>
        <v>0</v>
      </c>
      <c r="I111" s="31">
        <f t="shared" si="33"/>
        <v>0</v>
      </c>
      <c r="J111" s="32" t="str">
        <f t="shared" si="34"/>
        <v/>
      </c>
      <c r="K111" s="41"/>
      <c r="L111" s="33">
        <f t="shared" si="35"/>
        <v>0</v>
      </c>
      <c r="M111" s="41"/>
      <c r="N111" s="41"/>
      <c r="O111" s="34">
        <f t="shared" si="36"/>
        <v>0</v>
      </c>
      <c r="P111" s="44"/>
      <c r="Q111" s="44"/>
      <c r="R111" s="37">
        <f t="shared" si="37"/>
        <v>0</v>
      </c>
      <c r="S111" s="38">
        <f t="shared" si="38"/>
        <v>0</v>
      </c>
      <c r="T111" s="39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IFERROR(__xludf.DUMMYFUNCTION("""COMPUTED_VALUE"""),"ANDRI")</f>
        <v>ANDRI</v>
      </c>
      <c r="D112" s="27" t="str">
        <f>IFERROR(__xludf.DUMMYFUNCTION("""COMPUTED_VALUE"""),"DESIGN BORDIR")</f>
        <v>DESIGN BORDIR</v>
      </c>
      <c r="E112" s="28"/>
      <c r="F112" s="52">
        <f>IFERROR(__xludf.DUMMYFUNCTION("""COMPUTED_VALUE"""),0.0)</f>
        <v>0</v>
      </c>
      <c r="G112" s="30">
        <v>70000.0</v>
      </c>
      <c r="H112" s="31">
        <f t="shared" si="32"/>
        <v>0</v>
      </c>
      <c r="I112" s="31">
        <f t="shared" si="33"/>
        <v>0</v>
      </c>
      <c r="J112" s="32" t="str">
        <f t="shared" si="34"/>
        <v/>
      </c>
      <c r="K112" s="32"/>
      <c r="L112" s="33">
        <f t="shared" si="35"/>
        <v>0</v>
      </c>
      <c r="M112" s="32"/>
      <c r="N112" s="32"/>
      <c r="O112" s="34">
        <f t="shared" si="36"/>
        <v>0</v>
      </c>
      <c r="P112" s="44"/>
      <c r="Q112" s="44"/>
      <c r="R112" s="37">
        <f t="shared" si="37"/>
        <v>0</v>
      </c>
      <c r="S112" s="38">
        <f t="shared" si="38"/>
        <v>0</v>
      </c>
      <c r="T112" s="39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IFERROR(__xludf.DUMMYFUNCTION("""COMPUTED_VALUE"""),"ADIT")</f>
        <v>ADIT</v>
      </c>
      <c r="D113" s="27" t="str">
        <f>IFERROR(__xludf.DUMMYFUNCTION("""COMPUTED_VALUE"""),"CREATOR")</f>
        <v>CREATOR</v>
      </c>
      <c r="E113" s="28"/>
      <c r="F113" s="52">
        <f>IFERROR(__xludf.DUMMYFUNCTION("""COMPUTED_VALUE"""),0.0)</f>
        <v>0</v>
      </c>
      <c r="G113" s="30">
        <v>50000.0</v>
      </c>
      <c r="H113" s="31">
        <f t="shared" si="32"/>
        <v>0</v>
      </c>
      <c r="I113" s="31">
        <f t="shared" si="33"/>
        <v>0</v>
      </c>
      <c r="J113" s="32" t="str">
        <f t="shared" si="34"/>
        <v/>
      </c>
      <c r="K113" s="32"/>
      <c r="L113" s="33">
        <f t="shared" si="35"/>
        <v>0</v>
      </c>
      <c r="M113" s="32"/>
      <c r="N113" s="32"/>
      <c r="O113" s="34">
        <f t="shared" si="36"/>
        <v>0</v>
      </c>
      <c r="P113" s="44"/>
      <c r="Q113" s="44"/>
      <c r="R113" s="37">
        <f t="shared" si="37"/>
        <v>0</v>
      </c>
      <c r="S113" s="38">
        <f t="shared" si="38"/>
        <v>0</v>
      </c>
      <c r="T113" s="39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/>
      <c r="F114" s="52">
        <f>IFERROR(__xludf.DUMMYFUNCTION("""COMPUTED_VALUE"""),0.0)</f>
        <v>0</v>
      </c>
      <c r="G114" s="30">
        <v>70000.0</v>
      </c>
      <c r="H114" s="31">
        <f t="shared" si="32"/>
        <v>0</v>
      </c>
      <c r="I114" s="31">
        <f t="shared" si="33"/>
        <v>0</v>
      </c>
      <c r="J114" s="32" t="str">
        <f t="shared" si="34"/>
        <v/>
      </c>
      <c r="K114" s="32"/>
      <c r="L114" s="33">
        <f t="shared" si="35"/>
        <v>0</v>
      </c>
      <c r="M114" s="32"/>
      <c r="N114" s="32"/>
      <c r="O114" s="34">
        <f t="shared" si="36"/>
        <v>0</v>
      </c>
      <c r="P114" s="44"/>
      <c r="Q114" s="44"/>
      <c r="R114" s="37">
        <f t="shared" si="37"/>
        <v>0</v>
      </c>
      <c r="S114" s="38">
        <f t="shared" si="38"/>
        <v>0</v>
      </c>
      <c r="T114" s="39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/>
      <c r="F115" s="52">
        <f>IFERROR(__xludf.DUMMYFUNCTION("""COMPUTED_VALUE"""),0.0)</f>
        <v>0</v>
      </c>
      <c r="G115" s="30">
        <v>70000.0</v>
      </c>
      <c r="H115" s="31">
        <f t="shared" si="32"/>
        <v>0</v>
      </c>
      <c r="I115" s="31">
        <f t="shared" si="33"/>
        <v>0</v>
      </c>
      <c r="J115" s="32" t="str">
        <f t="shared" si="34"/>
        <v/>
      </c>
      <c r="K115" s="32"/>
      <c r="L115" s="33">
        <f t="shared" si="35"/>
        <v>0</v>
      </c>
      <c r="M115" s="32"/>
      <c r="N115" s="32"/>
      <c r="O115" s="34">
        <f t="shared" si="36"/>
        <v>0</v>
      </c>
      <c r="P115" s="44"/>
      <c r="Q115" s="44"/>
      <c r="R115" s="37">
        <f t="shared" si="37"/>
        <v>0</v>
      </c>
      <c r="S115" s="38">
        <f t="shared" si="38"/>
        <v>0</v>
      </c>
      <c r="T115" s="39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/>
      <c r="F116" s="52">
        <f>IFERROR(__xludf.DUMMYFUNCTION("""COMPUTED_VALUE"""),0.0)</f>
        <v>0</v>
      </c>
      <c r="G116" s="30">
        <v>50000.0</v>
      </c>
      <c r="H116" s="31">
        <f t="shared" si="32"/>
        <v>0</v>
      </c>
      <c r="I116" s="31">
        <f t="shared" si="33"/>
        <v>0</v>
      </c>
      <c r="J116" s="32" t="str">
        <f t="shared" si="34"/>
        <v/>
      </c>
      <c r="K116" s="32"/>
      <c r="L116" s="33">
        <f t="shared" si="35"/>
        <v>0</v>
      </c>
      <c r="M116" s="32"/>
      <c r="N116" s="32"/>
      <c r="O116" s="34">
        <f t="shared" si="36"/>
        <v>0</v>
      </c>
      <c r="P116" s="44"/>
      <c r="Q116" s="44"/>
      <c r="R116" s="37">
        <f t="shared" si="37"/>
        <v>0</v>
      </c>
      <c r="S116" s="38">
        <f t="shared" si="38"/>
        <v>0</v>
      </c>
      <c r="T116" s="39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/>
      <c r="F117" s="52">
        <f>IFERROR(__xludf.DUMMYFUNCTION("""COMPUTED_VALUE"""),0.0)</f>
        <v>0</v>
      </c>
      <c r="G117" s="30">
        <v>50000.0</v>
      </c>
      <c r="H117" s="31">
        <f t="shared" si="32"/>
        <v>0</v>
      </c>
      <c r="I117" s="31">
        <f t="shared" si="33"/>
        <v>0</v>
      </c>
      <c r="J117" s="32" t="str">
        <f t="shared" si="34"/>
        <v/>
      </c>
      <c r="K117" s="32"/>
      <c r="L117" s="33">
        <f t="shared" si="35"/>
        <v>0</v>
      </c>
      <c r="M117" s="32"/>
      <c r="N117" s="32"/>
      <c r="O117" s="34">
        <f t="shared" si="36"/>
        <v>0</v>
      </c>
      <c r="P117" s="44"/>
      <c r="Q117" s="44"/>
      <c r="R117" s="37">
        <f t="shared" si="37"/>
        <v>0</v>
      </c>
      <c r="S117" s="38">
        <f t="shared" si="38"/>
        <v>0</v>
      </c>
      <c r="T117" s="39"/>
      <c r="U117" s="42">
        <f>IFERROR(__xludf.DUMMYFUNCTION("""COMPUTED_VALUE"""),0.0)</f>
        <v>0</v>
      </c>
    </row>
    <row r="118" ht="37.5" customHeight="1">
      <c r="B118" s="25">
        <v>10.0</v>
      </c>
      <c r="C118" s="49" t="str">
        <f>IFERROR(__xludf.DUMMYFUNCTION("""COMPUTED_VALUE"""),"IIS")</f>
        <v>IIS</v>
      </c>
      <c r="D118" s="27" t="str">
        <f>IFERROR(__xludf.DUMMYFUNCTION("""COMPUTED_VALUE"""),"PACKING")</f>
        <v>PACKING</v>
      </c>
      <c r="E118" s="51"/>
      <c r="F118" s="52">
        <f>IFERROR(__xludf.DUMMYFUNCTION("""COMPUTED_VALUE"""),0.0)</f>
        <v>0</v>
      </c>
      <c r="G118" s="45"/>
      <c r="H118" s="31">
        <f t="shared" si="32"/>
        <v>0</v>
      </c>
      <c r="I118" s="31">
        <f t="shared" si="33"/>
        <v>0</v>
      </c>
      <c r="J118" s="32" t="str">
        <f t="shared" si="34"/>
        <v/>
      </c>
      <c r="K118" s="32"/>
      <c r="L118" s="33">
        <f t="shared" si="35"/>
        <v>0</v>
      </c>
      <c r="M118" s="32"/>
      <c r="N118" s="32"/>
      <c r="O118" s="34">
        <f t="shared" si="36"/>
        <v>0</v>
      </c>
      <c r="P118" s="44"/>
      <c r="Q118" s="44"/>
      <c r="R118" s="37">
        <f t="shared" si="37"/>
        <v>0</v>
      </c>
      <c r="S118" s="38">
        <f t="shared" si="38"/>
        <v>0</v>
      </c>
      <c r="T118" s="39"/>
      <c r="U118" s="42">
        <f>IFERROR(__xludf.DUMMYFUNCTION("""COMPUTED_VALUE"""),0.0)</f>
        <v>0</v>
      </c>
    </row>
    <row r="119" ht="37.5" customHeight="1">
      <c r="B119" s="25">
        <v>11.0</v>
      </c>
      <c r="C119" s="49"/>
      <c r="D119" s="50"/>
      <c r="E119" s="51"/>
      <c r="F119" s="52">
        <f>IFERROR(__xludf.DUMMYFUNCTION("""COMPUTED_VALUE"""),0.0)</f>
        <v>0</v>
      </c>
      <c r="G119" s="45"/>
      <c r="H119" s="31">
        <f t="shared" si="32"/>
        <v>0</v>
      </c>
      <c r="I119" s="31">
        <f t="shared" si="33"/>
        <v>0</v>
      </c>
      <c r="J119" s="32" t="str">
        <f t="shared" si="34"/>
        <v/>
      </c>
      <c r="K119" s="32"/>
      <c r="L119" s="33">
        <f t="shared" si="35"/>
        <v>0</v>
      </c>
      <c r="M119" s="32"/>
      <c r="N119" s="32"/>
      <c r="O119" s="34">
        <f t="shared" si="36"/>
        <v>0</v>
      </c>
      <c r="P119" s="44"/>
      <c r="Q119" s="44"/>
      <c r="R119" s="37">
        <f t="shared" si="37"/>
        <v>0</v>
      </c>
      <c r="S119" s="38">
        <f t="shared" si="38"/>
        <v>0</v>
      </c>
      <c r="T119" s="39"/>
      <c r="U119" s="42">
        <f>IFERROR(__xludf.DUMMYFUNCTION("""COMPUTED_VALUE"""),0.0)</f>
        <v>0</v>
      </c>
    </row>
    <row r="120" ht="37.5" customHeight="1">
      <c r="B120" s="25">
        <v>12.0</v>
      </c>
      <c r="C120" s="49"/>
      <c r="D120" s="50"/>
      <c r="E120" s="51"/>
      <c r="F120" s="52">
        <f>IFERROR(__xludf.DUMMYFUNCTION("""COMPUTED_VALUE"""),0.0)</f>
        <v>0</v>
      </c>
      <c r="G120" s="45"/>
      <c r="H120" s="31">
        <f t="shared" si="32"/>
        <v>0</v>
      </c>
      <c r="I120" s="31">
        <f t="shared" si="33"/>
        <v>0</v>
      </c>
      <c r="J120" s="32" t="str">
        <f t="shared" si="34"/>
        <v/>
      </c>
      <c r="K120" s="32"/>
      <c r="L120" s="33">
        <f t="shared" si="35"/>
        <v>0</v>
      </c>
      <c r="M120" s="32"/>
      <c r="N120" s="32"/>
      <c r="O120" s="34">
        <f t="shared" si="36"/>
        <v>0</v>
      </c>
      <c r="P120" s="44"/>
      <c r="Q120" s="44"/>
      <c r="R120" s="37">
        <f t="shared" si="37"/>
        <v>0</v>
      </c>
      <c r="S120" s="38">
        <f t="shared" si="38"/>
        <v>0</v>
      </c>
      <c r="T120" s="39"/>
      <c r="U120" s="42">
        <f>IFERROR(__xludf.DUMMYFUNCTION("""COMPUTED_VALUE"""),0.0)</f>
        <v>0</v>
      </c>
    </row>
    <row r="121" ht="37.5" customHeight="1">
      <c r="B121" s="25">
        <v>13.0</v>
      </c>
      <c r="C121" s="49"/>
      <c r="D121" s="50"/>
      <c r="E121" s="51"/>
      <c r="F121" s="52">
        <f>IFERROR(__xludf.DUMMYFUNCTION("""COMPUTED_VALUE"""),0.0)</f>
        <v>0</v>
      </c>
      <c r="G121" s="45"/>
      <c r="H121" s="31">
        <f t="shared" si="32"/>
        <v>0</v>
      </c>
      <c r="I121" s="31">
        <f t="shared" si="33"/>
        <v>0</v>
      </c>
      <c r="J121" s="32" t="str">
        <f t="shared" si="34"/>
        <v/>
      </c>
      <c r="K121" s="32"/>
      <c r="L121" s="33">
        <f t="shared" si="35"/>
        <v>0</v>
      </c>
      <c r="M121" s="32"/>
      <c r="N121" s="32"/>
      <c r="O121" s="34">
        <f t="shared" si="36"/>
        <v>0</v>
      </c>
      <c r="P121" s="44"/>
      <c r="Q121" s="44"/>
      <c r="R121" s="37">
        <f t="shared" si="37"/>
        <v>0</v>
      </c>
      <c r="S121" s="38">
        <f t="shared" si="38"/>
        <v>0</v>
      </c>
      <c r="T121" s="39"/>
      <c r="U121" s="42">
        <f>IFERROR(__xludf.DUMMYFUNCTION("""COMPUTED_VALUE"""),0.0)</f>
        <v>0</v>
      </c>
    </row>
    <row r="122" ht="37.5" customHeight="1">
      <c r="B122" s="25">
        <v>14.0</v>
      </c>
      <c r="C122" s="49"/>
      <c r="D122" s="50"/>
      <c r="E122" s="51"/>
      <c r="F122" s="52">
        <f>IFERROR(__xludf.DUMMYFUNCTION("""COMPUTED_VALUE"""),0.0)</f>
        <v>0</v>
      </c>
      <c r="G122" s="45"/>
      <c r="H122" s="31">
        <f t="shared" si="32"/>
        <v>0</v>
      </c>
      <c r="I122" s="31">
        <f t="shared" si="33"/>
        <v>0</v>
      </c>
      <c r="J122" s="32" t="str">
        <f t="shared" si="34"/>
        <v/>
      </c>
      <c r="K122" s="32"/>
      <c r="L122" s="33">
        <f t="shared" si="35"/>
        <v>0</v>
      </c>
      <c r="M122" s="32"/>
      <c r="N122" s="32"/>
      <c r="O122" s="34">
        <f t="shared" si="36"/>
        <v>0</v>
      </c>
      <c r="P122" s="44"/>
      <c r="Q122" s="44"/>
      <c r="R122" s="37">
        <f t="shared" si="37"/>
        <v>0</v>
      </c>
      <c r="S122" s="38">
        <f t="shared" si="38"/>
        <v>0</v>
      </c>
      <c r="T122" s="39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0"/>
      <c r="E123" s="51"/>
      <c r="F123" s="52">
        <f>IFERROR(__xludf.DUMMYFUNCTION("""COMPUTED_VALUE"""),0.0)</f>
        <v>0</v>
      </c>
      <c r="G123" s="45"/>
      <c r="H123" s="31">
        <f t="shared" si="32"/>
        <v>0</v>
      </c>
      <c r="I123" s="31">
        <f t="shared" si="33"/>
        <v>0</v>
      </c>
      <c r="J123" s="32" t="str">
        <f t="shared" si="34"/>
        <v/>
      </c>
      <c r="K123" s="32"/>
      <c r="L123" s="33">
        <f t="shared" si="35"/>
        <v>0</v>
      </c>
      <c r="M123" s="32"/>
      <c r="N123" s="32"/>
      <c r="O123" s="34">
        <f t="shared" si="36"/>
        <v>0</v>
      </c>
      <c r="P123" s="44"/>
      <c r="Q123" s="44"/>
      <c r="R123" s="37">
        <f t="shared" si="37"/>
        <v>0</v>
      </c>
      <c r="S123" s="38">
        <f t="shared" si="38"/>
        <v>0</v>
      </c>
      <c r="T123" s="39"/>
      <c r="U123" s="42">
        <f>IFERROR(__xludf.DUMMYFUNCTION("""COMPUTED_VALUE"""),0.0)</f>
        <v>0</v>
      </c>
    </row>
    <row r="124" ht="37.5" customHeight="1">
      <c r="B124" s="25">
        <v>16.0</v>
      </c>
      <c r="C124" s="49"/>
      <c r="D124" s="50"/>
      <c r="E124" s="51"/>
      <c r="F124" s="52">
        <f>IFERROR(__xludf.DUMMYFUNCTION("""COMPUTED_VALUE"""),0.0)</f>
        <v>0</v>
      </c>
      <c r="G124" s="45"/>
      <c r="H124" s="31">
        <f t="shared" si="32"/>
        <v>0</v>
      </c>
      <c r="I124" s="31">
        <f t="shared" si="33"/>
        <v>0</v>
      </c>
      <c r="J124" s="32" t="str">
        <f t="shared" si="34"/>
        <v/>
      </c>
      <c r="K124" s="32"/>
      <c r="L124" s="33">
        <f t="shared" si="35"/>
        <v>0</v>
      </c>
      <c r="M124" s="32"/>
      <c r="N124" s="32"/>
      <c r="O124" s="34">
        <f t="shared" si="36"/>
        <v>0</v>
      </c>
      <c r="P124" s="44"/>
      <c r="Q124" s="44"/>
      <c r="R124" s="37">
        <f t="shared" si="37"/>
        <v>0</v>
      </c>
      <c r="S124" s="38">
        <f t="shared" si="38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49"/>
      <c r="D125" s="50"/>
      <c r="E125" s="51"/>
      <c r="F125" s="52">
        <f>IFERROR(__xludf.DUMMYFUNCTION("""COMPUTED_VALUE"""),0.0)</f>
        <v>0</v>
      </c>
      <c r="G125" s="45"/>
      <c r="H125" s="31">
        <f t="shared" si="32"/>
        <v>0</v>
      </c>
      <c r="I125" s="31">
        <f t="shared" si="33"/>
        <v>0</v>
      </c>
      <c r="J125" s="32" t="str">
        <f t="shared" si="34"/>
        <v/>
      </c>
      <c r="K125" s="32"/>
      <c r="L125" s="33">
        <f t="shared" si="35"/>
        <v>0</v>
      </c>
      <c r="M125" s="32"/>
      <c r="N125" s="32"/>
      <c r="O125" s="34">
        <f t="shared" si="36"/>
        <v>0</v>
      </c>
      <c r="P125" s="44"/>
      <c r="Q125" s="44"/>
      <c r="R125" s="37">
        <f t="shared" si="37"/>
        <v>0</v>
      </c>
      <c r="S125" s="38">
        <f t="shared" si="38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2"/>
        <v>0</v>
      </c>
      <c r="I126" s="31">
        <f t="shared" si="33"/>
        <v>0</v>
      </c>
      <c r="J126" s="32" t="str">
        <f t="shared" si="34"/>
        <v/>
      </c>
      <c r="K126" s="32"/>
      <c r="L126" s="33">
        <f t="shared" si="35"/>
        <v>0</v>
      </c>
      <c r="M126" s="32"/>
      <c r="N126" s="32"/>
      <c r="O126" s="34">
        <f t="shared" si="36"/>
        <v>0</v>
      </c>
      <c r="P126" s="44"/>
      <c r="Q126" s="44"/>
      <c r="R126" s="37">
        <f t="shared" si="37"/>
        <v>0</v>
      </c>
      <c r="S126" s="38">
        <f t="shared" si="38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2"/>
        <v>0</v>
      </c>
      <c r="I127" s="31">
        <f t="shared" si="33"/>
        <v>0</v>
      </c>
      <c r="J127" s="32" t="str">
        <f t="shared" si="34"/>
        <v/>
      </c>
      <c r="K127" s="32"/>
      <c r="L127" s="33">
        <f t="shared" si="35"/>
        <v>0</v>
      </c>
      <c r="M127" s="32"/>
      <c r="N127" s="32"/>
      <c r="O127" s="34">
        <f t="shared" si="36"/>
        <v>0</v>
      </c>
      <c r="P127" s="44"/>
      <c r="Q127" s="44"/>
      <c r="R127" s="37">
        <f t="shared" si="37"/>
        <v>0</v>
      </c>
      <c r="S127" s="38">
        <f t="shared" si="38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2"/>
        <v>0</v>
      </c>
      <c r="I128" s="31">
        <f t="shared" si="33"/>
        <v>0</v>
      </c>
      <c r="J128" s="32" t="str">
        <f t="shared" si="34"/>
        <v/>
      </c>
      <c r="K128" s="32"/>
      <c r="L128" s="33">
        <f t="shared" si="35"/>
        <v>0</v>
      </c>
      <c r="M128" s="32"/>
      <c r="N128" s="32"/>
      <c r="O128" s="34">
        <f t="shared" si="36"/>
        <v>0</v>
      </c>
      <c r="P128" s="44"/>
      <c r="Q128" s="44"/>
      <c r="R128" s="37">
        <f t="shared" si="37"/>
        <v>0</v>
      </c>
      <c r="S128" s="38">
        <f t="shared" si="38"/>
        <v>0</v>
      </c>
      <c r="T128" s="51"/>
      <c r="U128" s="42"/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2"/>
        <v>0</v>
      </c>
      <c r="I129" s="31">
        <f t="shared" si="33"/>
        <v>0</v>
      </c>
      <c r="J129" s="32" t="str">
        <f t="shared" si="34"/>
        <v/>
      </c>
      <c r="K129" s="32"/>
      <c r="L129" s="33">
        <f t="shared" si="35"/>
        <v>0</v>
      </c>
      <c r="M129" s="32"/>
      <c r="N129" s="32"/>
      <c r="O129" s="34">
        <f t="shared" si="36"/>
        <v>0</v>
      </c>
      <c r="P129" s="44"/>
      <c r="Q129" s="44"/>
      <c r="R129" s="37">
        <f t="shared" si="37"/>
        <v>0</v>
      </c>
      <c r="S129" s="38">
        <f t="shared" si="38"/>
        <v>0</v>
      </c>
      <c r="T129" s="51"/>
      <c r="U129" s="42"/>
    </row>
    <row r="130" ht="37.5" customHeight="1">
      <c r="B130" s="25">
        <v>22.0</v>
      </c>
      <c r="C130" s="49"/>
      <c r="D130" s="51"/>
      <c r="E130" s="51"/>
      <c r="F130" s="42"/>
      <c r="G130" s="53"/>
      <c r="H130" s="31">
        <f t="shared" si="32"/>
        <v>0</v>
      </c>
      <c r="I130" s="31">
        <f t="shared" si="33"/>
        <v>0</v>
      </c>
      <c r="J130" s="32" t="str">
        <f t="shared" si="34"/>
        <v/>
      </c>
      <c r="K130" s="32"/>
      <c r="L130" s="33">
        <f t="shared" si="35"/>
        <v>0</v>
      </c>
      <c r="M130" s="32"/>
      <c r="N130" s="32"/>
      <c r="O130" s="34">
        <f t="shared" si="36"/>
        <v>0</v>
      </c>
      <c r="P130" s="44"/>
      <c r="Q130" s="44"/>
      <c r="R130" s="37">
        <f t="shared" si="37"/>
        <v>0</v>
      </c>
      <c r="S130" s="38">
        <f t="shared" si="38"/>
        <v>0</v>
      </c>
      <c r="T130" s="51"/>
      <c r="U130" s="42"/>
    </row>
    <row r="131">
      <c r="B131" s="54"/>
      <c r="F131" s="55" t="s">
        <v>21</v>
      </c>
      <c r="S131" s="56">
        <f>SUM(S109:S130)</f>
        <v>0</v>
      </c>
      <c r="T131" s="57"/>
      <c r="U131" s="58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>
      <c r="B133" s="67" t="s">
        <v>21</v>
      </c>
      <c r="F133" s="68">
        <f>S31+S56+S81+S106+S131</f>
        <v>0</v>
      </c>
      <c r="T133" s="69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5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IFERROR(__xludf.DUMMYFUNCTION("IMPORTRANGE(""https://docs.google.com/spreadsheets/d/17TnzcKnlaqlAyM_3lnNpgK5CAOPbscCCRVH50X8UulY/edit?usp=sharing"",""NOVEMBER!B2"")"),46327.0)</f>
        <v>46327</v>
      </c>
      <c r="C2" s="2"/>
      <c r="D2" s="2"/>
      <c r="E2" s="3"/>
      <c r="F2" s="126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29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129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IFERROR(__xludf.DUMMYFUNCTION("IMPORTRANGE(""https://docs.google.com/spreadsheets/d/1Aud93BfAdhkWf584eKi6yqKFYhpUXTj-qoDfXlGtG84/edit?usp=sharing"",""NOVEMBER!B6"")"),"TANGGAL : 2-7 NOVEMBER 2026")</f>
        <v>TANGGAL : 2-7 NOVEMBER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6" t="str">
        <f>IFERROR(__xludf.DUMMYFUNCTION("IMPORTRANGE(""https://docs.google.com/spreadsheets/d/17TnzcKnlaqlAyM_3lnNpgK5CAOPbscCCRVH50X8UulY/edit?usp=sharing"",""NOVEMBER!B7:D25"")"),"EPUL")</f>
        <v>EPUL</v>
      </c>
      <c r="D9" s="27" t="str">
        <f>IFERROR(__xludf.DUMMYFUNCTION("""COMPUTED_VALUE"""),"KEPALA")</f>
        <v>KEPALA</v>
      </c>
      <c r="E9" s="28"/>
      <c r="F9" s="52">
        <f>IFERROR(__xludf.DUMMYFUNCTION("IMPORTRANGE(""https://docs.google.com/spreadsheets/d/17TnzcKnlaqlAyM_3lnNpgK5CAOPbscCCRVH50X8UulY/edit?usp=sharing"",""NOVEMBER!K7:K25"")"),0.0)</f>
        <v>0</v>
      </c>
      <c r="G9" s="30">
        <v>110000.0</v>
      </c>
      <c r="H9" s="31">
        <f t="shared" ref="H9:H30" si="1">F9*G9</f>
        <v>0</v>
      </c>
      <c r="I9" s="31">
        <f t="shared" ref="I9:I30" si="2">F9*10000</f>
        <v>0</v>
      </c>
      <c r="J9" s="32" t="str">
        <f t="shared" ref="J9:J19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0</v>
      </c>
      <c r="P9" s="44"/>
      <c r="Q9" s="44"/>
      <c r="R9" s="37">
        <f t="shared" ref="R9:R30" si="6">SUM(P9:Q9)</f>
        <v>0</v>
      </c>
      <c r="S9" s="38">
        <f t="shared" ref="S9:S30" si="7">O9-R9</f>
        <v>0</v>
      </c>
      <c r="T9" s="39" t="str">
        <f>IFERROR(__xludf.DUMMYFUNCTION("IMPORTRANGE(""https://docs.google.com/spreadsheets/d/17TnzcKnlaqlAyM_3lnNpgK5CAOPbscCCRVH50X8UulY/edit?usp=sharing"",""NOVEMBER!L7:L25"")"),"")</f>
        <v/>
      </c>
      <c r="U9" s="42">
        <f>IFERROR(__xludf.DUMMYFUNCTION("IMPORTRANGE(""https://docs.google.com/spreadsheets/d/17TnzcKnlaqlAyM_3lnNpgK5CAOPbscCCRVH50X8UulY/edit?usp=sharing"",""NOVEMBER!U7:U25"")"),0.0)</f>
        <v>0</v>
      </c>
      <c r="V9" s="24"/>
      <c r="W9" s="24"/>
    </row>
    <row r="10" ht="37.5" customHeight="1">
      <c r="A10" s="24"/>
      <c r="B10" s="25">
        <v>2.0</v>
      </c>
      <c r="C10" s="26" t="str">
        <f>IFERROR(__xludf.DUMMYFUNCTION("""COMPUTED_VALUE"""),"HISMI")</f>
        <v>HISMI</v>
      </c>
      <c r="D10" s="27" t="str">
        <f>IFERROR(__xludf.DUMMYFUNCTION("""COMPUTED_VALUE"""),"ADMIN")</f>
        <v>ADMIN</v>
      </c>
      <c r="E10" s="28"/>
      <c r="F10" s="52">
        <f>IFERROR(__xludf.DUMMYFUNCTION("""COMPUTED_VALUE"""),0.0)</f>
        <v>0</v>
      </c>
      <c r="G10" s="30">
        <v>70000.0</v>
      </c>
      <c r="H10" s="31">
        <f t="shared" si="1"/>
        <v>0</v>
      </c>
      <c r="I10" s="31">
        <f t="shared" si="2"/>
        <v>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0</v>
      </c>
      <c r="P10" s="44"/>
      <c r="Q10" s="44"/>
      <c r="R10" s="37">
        <f t="shared" si="6"/>
        <v>0</v>
      </c>
      <c r="S10" s="38">
        <f t="shared" si="7"/>
        <v>0</v>
      </c>
      <c r="T10" s="3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6"/>
      <c r="D11" s="27" t="str">
        <f>IFERROR(__xludf.DUMMYFUNCTION("""COMPUTED_VALUE"""),"ADMIN")</f>
        <v>ADMIN</v>
      </c>
      <c r="E11" s="28"/>
      <c r="F11" s="52">
        <f>IFERROR(__xludf.DUMMYFUNCTION("""COMPUTED_VALUE"""),0.0)</f>
        <v>0</v>
      </c>
      <c r="G11" s="30">
        <v>70000.0</v>
      </c>
      <c r="H11" s="31">
        <f t="shared" si="1"/>
        <v>0</v>
      </c>
      <c r="I11" s="31">
        <f t="shared" si="2"/>
        <v>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0</v>
      </c>
      <c r="P11" s="44"/>
      <c r="Q11" s="44"/>
      <c r="R11" s="37">
        <f t="shared" si="6"/>
        <v>0</v>
      </c>
      <c r="S11" s="38">
        <f t="shared" si="7"/>
        <v>0</v>
      </c>
      <c r="T11" s="3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6" t="str">
        <f>IFERROR(__xludf.DUMMYFUNCTION("""COMPUTED_VALUE"""),"ANDRI")</f>
        <v>ANDRI</v>
      </c>
      <c r="D12" s="27" t="str">
        <f>IFERROR(__xludf.DUMMYFUNCTION("""COMPUTED_VALUE"""),"DESIGN BORDIR")</f>
        <v>DESIGN BORDIR</v>
      </c>
      <c r="E12" s="28"/>
      <c r="F12" s="52">
        <f>IFERROR(__xludf.DUMMYFUNCTION("""COMPUTED_VALUE"""),0.0)</f>
        <v>0</v>
      </c>
      <c r="G12" s="30">
        <v>70000.0</v>
      </c>
      <c r="H12" s="31">
        <f t="shared" si="1"/>
        <v>0</v>
      </c>
      <c r="I12" s="31">
        <f t="shared" si="2"/>
        <v>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0</v>
      </c>
      <c r="P12" s="44"/>
      <c r="Q12" s="44"/>
      <c r="R12" s="37">
        <f t="shared" si="6"/>
        <v>0</v>
      </c>
      <c r="S12" s="38">
        <f t="shared" si="7"/>
        <v>0</v>
      </c>
      <c r="T12" s="39"/>
      <c r="U12" s="42">
        <f>IFERROR(__xludf.DUMMYFUNCTION("""COMPUTED_VALUE"""),0.0)</f>
        <v>0</v>
      </c>
      <c r="V12" s="134"/>
      <c r="W12" s="24"/>
    </row>
    <row r="13" ht="37.5" customHeight="1">
      <c r="A13" s="24"/>
      <c r="B13" s="25">
        <v>5.0</v>
      </c>
      <c r="C13" s="26" t="str">
        <f>IFERROR(__xludf.DUMMYFUNCTION("""COMPUTED_VALUE"""),"ADIT")</f>
        <v>ADIT</v>
      </c>
      <c r="D13" s="27" t="str">
        <f>IFERROR(__xludf.DUMMYFUNCTION("""COMPUTED_VALUE"""),"CREATOR")</f>
        <v>CREATOR</v>
      </c>
      <c r="E13" s="28"/>
      <c r="F13" s="52">
        <f>IFERROR(__xludf.DUMMYFUNCTION("""COMPUTED_VALUE"""),0.0)</f>
        <v>0</v>
      </c>
      <c r="G13" s="30">
        <v>50000.0</v>
      </c>
      <c r="H13" s="31">
        <f t="shared" si="1"/>
        <v>0</v>
      </c>
      <c r="I13" s="31">
        <f t="shared" si="2"/>
        <v>0</v>
      </c>
      <c r="J13" s="32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0</v>
      </c>
      <c r="P13" s="44"/>
      <c r="Q13" s="44"/>
      <c r="R13" s="37">
        <f t="shared" si="6"/>
        <v>0</v>
      </c>
      <c r="S13" s="38">
        <f t="shared" si="7"/>
        <v>0</v>
      </c>
      <c r="T13" s="39"/>
      <c r="U13" s="42">
        <f>IFERROR(__xludf.DUMMYFUNCTION("""COMPUTED_VALUE"""),0.0)</f>
        <v>0</v>
      </c>
      <c r="V13" s="134"/>
      <c r="W13" s="24"/>
    </row>
    <row r="14" ht="37.5" customHeight="1">
      <c r="A14" s="24"/>
      <c r="B14" s="25">
        <v>6.0</v>
      </c>
      <c r="C14" s="26" t="str">
        <f>IFERROR(__xludf.DUMMYFUNCTION("""COMPUTED_VALUE"""),"WILI")</f>
        <v>WILI</v>
      </c>
      <c r="D14" s="27" t="str">
        <f>IFERROR(__xludf.DUMMYFUNCTION("""COMPUTED_VALUE"""),"OP MESIN")</f>
        <v>OP MESIN</v>
      </c>
      <c r="E14" s="28"/>
      <c r="F14" s="52">
        <f>IFERROR(__xludf.DUMMYFUNCTION("""COMPUTED_VALUE"""),0.0)</f>
        <v>0</v>
      </c>
      <c r="G14" s="30">
        <v>70000.0</v>
      </c>
      <c r="H14" s="31">
        <f t="shared" si="1"/>
        <v>0</v>
      </c>
      <c r="I14" s="31">
        <f t="shared" si="2"/>
        <v>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0</v>
      </c>
      <c r="P14" s="44"/>
      <c r="Q14" s="44"/>
      <c r="R14" s="37">
        <f t="shared" si="6"/>
        <v>0</v>
      </c>
      <c r="S14" s="38">
        <f t="shared" si="7"/>
        <v>0</v>
      </c>
      <c r="T14" s="39"/>
      <c r="U14" s="42">
        <f>IFERROR(__xludf.DUMMYFUNCTION("""COMPUTED_VALUE"""),0.0)</f>
        <v>0</v>
      </c>
      <c r="V14" s="135"/>
      <c r="W14" s="24"/>
    </row>
    <row r="15" ht="37.5" customHeight="1">
      <c r="A15" s="24"/>
      <c r="B15" s="25">
        <v>7.0</v>
      </c>
      <c r="C15" s="26" t="str">
        <f>IFERROR(__xludf.DUMMYFUNCTION("""COMPUTED_VALUE"""),"OGA")</f>
        <v>OGA</v>
      </c>
      <c r="D15" s="27" t="str">
        <f>IFERROR(__xludf.DUMMYFUNCTION("""COMPUTED_VALUE"""),"OP MESIN")</f>
        <v>OP MESIN</v>
      </c>
      <c r="E15" s="28"/>
      <c r="F15" s="52">
        <f>IFERROR(__xludf.DUMMYFUNCTION("""COMPUTED_VALUE"""),0.0)</f>
        <v>0</v>
      </c>
      <c r="G15" s="30">
        <v>70000.0</v>
      </c>
      <c r="H15" s="31">
        <f t="shared" si="1"/>
        <v>0</v>
      </c>
      <c r="I15" s="31">
        <f t="shared" si="2"/>
        <v>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0</v>
      </c>
      <c r="P15" s="44"/>
      <c r="Q15" s="44"/>
      <c r="R15" s="37">
        <f t="shared" si="6"/>
        <v>0</v>
      </c>
      <c r="S15" s="38">
        <f t="shared" si="7"/>
        <v>0</v>
      </c>
      <c r="T15" s="39"/>
      <c r="U15" s="42">
        <f>IFERROR(__xludf.DUMMYFUNCTION("""COMPUTED_VALUE"""),0.0)</f>
        <v>0</v>
      </c>
      <c r="V15" s="135"/>
      <c r="W15" s="24"/>
    </row>
    <row r="16" ht="37.5" customHeight="1">
      <c r="A16" s="24"/>
      <c r="B16" s="25">
        <v>8.0</v>
      </c>
      <c r="C16" s="26" t="str">
        <f>IFERROR(__xludf.DUMMYFUNCTION("""COMPUTED_VALUE"""),"ASEP")</f>
        <v>ASEP</v>
      </c>
      <c r="D16" s="27" t="str">
        <f>IFERROR(__xludf.DUMMYFUNCTION("""COMPUTED_VALUE"""),"OP MESIN")</f>
        <v>OP MESIN</v>
      </c>
      <c r="E16" s="28"/>
      <c r="F16" s="52">
        <f>IFERROR(__xludf.DUMMYFUNCTION("""COMPUTED_VALUE"""),0.0)</f>
        <v>0</v>
      </c>
      <c r="G16" s="30">
        <v>50000.0</v>
      </c>
      <c r="H16" s="31">
        <f t="shared" si="1"/>
        <v>0</v>
      </c>
      <c r="I16" s="31">
        <f t="shared" si="2"/>
        <v>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0</v>
      </c>
      <c r="P16" s="44"/>
      <c r="Q16" s="44"/>
      <c r="R16" s="37">
        <f t="shared" si="6"/>
        <v>0</v>
      </c>
      <c r="S16" s="38">
        <f t="shared" si="7"/>
        <v>0</v>
      </c>
      <c r="T16" s="39"/>
      <c r="U16" s="42">
        <f>IFERROR(__xludf.DUMMYFUNCTION("""COMPUTED_VALUE"""),0.0)</f>
        <v>0</v>
      </c>
      <c r="V16" s="134"/>
      <c r="W16" s="24"/>
    </row>
    <row r="17" ht="37.5" customHeight="1">
      <c r="A17" s="24"/>
      <c r="B17" s="25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28"/>
      <c r="F17" s="52">
        <f>IFERROR(__xludf.DUMMYFUNCTION("""COMPUTED_VALUE"""),0.0)</f>
        <v>0</v>
      </c>
      <c r="G17" s="30">
        <v>50000.0</v>
      </c>
      <c r="H17" s="31">
        <f t="shared" si="1"/>
        <v>0</v>
      </c>
      <c r="I17" s="31">
        <f t="shared" si="2"/>
        <v>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0</v>
      </c>
      <c r="P17" s="44"/>
      <c r="Q17" s="44"/>
      <c r="R17" s="37">
        <f t="shared" si="6"/>
        <v>0</v>
      </c>
      <c r="S17" s="38">
        <f t="shared" si="7"/>
        <v>0</v>
      </c>
      <c r="T17" s="39"/>
      <c r="U17" s="42">
        <f>IFERROR(__xludf.DUMMYFUNCTION("""COMPUTED_VALUE"""),0.0)</f>
        <v>0</v>
      </c>
      <c r="V17" s="134"/>
      <c r="W17" s="24"/>
    </row>
    <row r="18" ht="37.5" customHeight="1">
      <c r="A18" s="24"/>
      <c r="B18" s="25">
        <v>10.0</v>
      </c>
      <c r="C18" s="49" t="str">
        <f>IFERROR(__xludf.DUMMYFUNCTION("""COMPUTED_VALUE"""),"IIS")</f>
        <v>IIS</v>
      </c>
      <c r="D18" s="27" t="str">
        <f>IFERROR(__xludf.DUMMYFUNCTION("""COMPUTED_VALUE"""),"PACKING")</f>
        <v>PACKING</v>
      </c>
      <c r="E18" s="51"/>
      <c r="F18" s="52">
        <f>IFERROR(__xludf.DUMMYFUNCTION("""COMPUTED_VALUE"""),0.0)</f>
        <v>0</v>
      </c>
      <c r="G18" s="45"/>
      <c r="H18" s="31">
        <f t="shared" si="1"/>
        <v>0</v>
      </c>
      <c r="I18" s="31">
        <f t="shared" si="2"/>
        <v>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0</v>
      </c>
      <c r="P18" s="44"/>
      <c r="Q18" s="44"/>
      <c r="R18" s="37">
        <f t="shared" si="6"/>
        <v>0</v>
      </c>
      <c r="S18" s="38">
        <f t="shared" si="7"/>
        <v>0</v>
      </c>
      <c r="T18" s="39"/>
      <c r="U18" s="42">
        <f>IFERROR(__xludf.DUMMYFUNCTION("""COMPUTED_VALUE"""),0.0)</f>
        <v>0</v>
      </c>
      <c r="V18" s="13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44"/>
      <c r="Q19" s="44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134"/>
      <c r="W19" s="24"/>
    </row>
    <row r="20" ht="37.5" customHeight="1">
      <c r="A20" s="24"/>
      <c r="B20" s="25">
        <v>12.0</v>
      </c>
      <c r="C20" s="49"/>
      <c r="D20" s="50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/>
      <c r="K20" s="32"/>
      <c r="L20" s="33">
        <f t="shared" si="4"/>
        <v>0</v>
      </c>
      <c r="M20" s="32"/>
      <c r="N20" s="32"/>
      <c r="O20" s="34">
        <f t="shared" si="5"/>
        <v>0</v>
      </c>
      <c r="P20" s="44"/>
      <c r="Q20" s="44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13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/>
      <c r="K21" s="32"/>
      <c r="L21" s="33">
        <f t="shared" si="4"/>
        <v>0</v>
      </c>
      <c r="M21" s="32"/>
      <c r="N21" s="32"/>
      <c r="O21" s="34">
        <f t="shared" si="5"/>
        <v>0</v>
      </c>
      <c r="P21" s="44"/>
      <c r="Q21" s="44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13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>IF(E22="SHIFT 2",I22,"")</f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44"/>
      <c r="Q22" s="44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13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13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136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8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136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8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136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8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8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/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8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8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B31" s="54"/>
      <c r="F31" s="55" t="s">
        <v>21</v>
      </c>
      <c r="S31" s="56">
        <f>SUM(S9:S30)</f>
        <v>0</v>
      </c>
      <c r="T31" s="57"/>
      <c r="U31" s="58"/>
    </row>
    <row r="32" ht="37.5" customHeight="1"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ht="37.5" customHeight="1">
      <c r="A33" s="24"/>
      <c r="B33" s="21" t="str">
        <f>IFERROR(__xludf.DUMMYFUNCTION("IMPORTRANGE(""https://docs.google.com/spreadsheets/d/17TnzcKnlaqlAyM_3lnNpgK5CAOPbscCCRVH50X8UulY/edit?usp=sharing"",""NOVEMBER!B28"")"),"TANGGAL : 9-14 NOVEMBER 2026")</f>
        <v>TANGGAL : 9-14 NOVEMBER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6" t="str">
        <f>IFERROR(__xludf.DUMMYFUNCTION("IMPORTRANGE(""https://docs.google.com/spreadsheets/d/17TnzcKnlaqlAyM_3lnNpgK5CAOPbscCCRVH50X8UulY/edit?usp=sharing"",""NOVEMBER!B29:D47"")"),"EPUL")</f>
        <v>EPUL</v>
      </c>
      <c r="D34" s="27" t="str">
        <f>IFERROR(__xludf.DUMMYFUNCTION("""COMPUTED_VALUE"""),"KEPALA")</f>
        <v>KEPALA</v>
      </c>
      <c r="E34" s="28"/>
      <c r="F34" s="52">
        <f>IFERROR(__xludf.DUMMYFUNCTION("IMPORTRANGE(""https://docs.google.com/spreadsheets/d/17TnzcKnlaqlAyM_3lnNpgK5CAOPbscCCRVH50X8UulY/edit?usp=sharing"",""NOVEMBER!K29:K47"")"),0.0)</f>
        <v>0</v>
      </c>
      <c r="G34" s="30">
        <v>110000.0</v>
      </c>
      <c r="H34" s="31">
        <f t="shared" ref="H34:H55" si="9">F34*G34</f>
        <v>0</v>
      </c>
      <c r="I34" s="31">
        <f t="shared" ref="I34:I55" si="10">F34*10000</f>
        <v>0</v>
      </c>
      <c r="J34" s="32" t="str">
        <f t="shared" ref="J34:J55" si="11">IF(E34="SHIFT 2",I34,"")</f>
        <v/>
      </c>
      <c r="K34" s="32"/>
      <c r="L34" s="33">
        <f t="shared" ref="L34:L55" si="12">U34*$L$33</f>
        <v>0</v>
      </c>
      <c r="M34" s="32"/>
      <c r="N34" s="32"/>
      <c r="O34" s="34">
        <f t="shared" ref="O34:O55" si="13">SUM(H34:N34)</f>
        <v>0</v>
      </c>
      <c r="P34" s="36"/>
      <c r="Q34" s="36"/>
      <c r="R34" s="37">
        <f t="shared" ref="R34:R55" si="14">SUM(P34:Q34)</f>
        <v>0</v>
      </c>
      <c r="S34" s="38">
        <f t="shared" ref="S34:S55" si="15">O34-R34</f>
        <v>0</v>
      </c>
      <c r="T34" s="52" t="str">
        <f>IFERROR(__xludf.DUMMYFUNCTION("IMPORTRANGE(""https://docs.google.com/spreadsheets/d/17TnzcKnlaqlAyM_3lnNpgK5CAOPbscCCRVH50X8UulY/edit?usp=sharing"",""NOVEMBER!L29:L47"")"),"")</f>
        <v/>
      </c>
      <c r="U34" s="42">
        <f>IFERROR(__xludf.DUMMYFUNCTION("IMPORTRANGE(""https://docs.google.com/spreadsheets/d/17TnzcKnlaqlAyM_3lnNpgK5CAOPbscCCRVH50X8UulY/edit?usp=sharing"",""NOVEMBER!U29:U47"")"),0.0)</f>
        <v>0</v>
      </c>
      <c r="V34" s="24"/>
      <c r="W34" s="24"/>
    </row>
    <row r="35" ht="37.5" customHeight="1">
      <c r="A35" s="24"/>
      <c r="B35" s="25">
        <v>2.0</v>
      </c>
      <c r="C35" s="26" t="str">
        <f>IFERROR(__xludf.DUMMYFUNCTION("""COMPUTED_VALUE"""),"HISMI")</f>
        <v>HISMI</v>
      </c>
      <c r="D35" s="27" t="str">
        <f>IFERROR(__xludf.DUMMYFUNCTION("""COMPUTED_VALUE"""),"ADMIN")</f>
        <v>ADMIN</v>
      </c>
      <c r="E35" s="28"/>
      <c r="F35" s="52">
        <f>IFERROR(__xludf.DUMMYFUNCTION("""COMPUTED_VALUE"""),0.0)</f>
        <v>0</v>
      </c>
      <c r="G35" s="30">
        <v>70000.0</v>
      </c>
      <c r="H35" s="31">
        <f t="shared" si="9"/>
        <v>0</v>
      </c>
      <c r="I35" s="31">
        <f t="shared" si="10"/>
        <v>0</v>
      </c>
      <c r="J35" s="32" t="str">
        <f t="shared" si="11"/>
        <v/>
      </c>
      <c r="K35" s="41"/>
      <c r="L35" s="33">
        <f t="shared" si="12"/>
        <v>0</v>
      </c>
      <c r="M35" s="41"/>
      <c r="N35" s="41"/>
      <c r="O35" s="34">
        <f t="shared" si="13"/>
        <v>0</v>
      </c>
      <c r="P35" s="36"/>
      <c r="Q35" s="36"/>
      <c r="R35" s="37">
        <f t="shared" si="14"/>
        <v>0</v>
      </c>
      <c r="S35" s="38">
        <f t="shared" si="15"/>
        <v>0</v>
      </c>
      <c r="T35" s="52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6"/>
      <c r="D36" s="27" t="str">
        <f>IFERROR(__xludf.DUMMYFUNCTION("""COMPUTED_VALUE"""),"ADMIN")</f>
        <v>ADMIN</v>
      </c>
      <c r="E36" s="28"/>
      <c r="F36" s="52">
        <f>IFERROR(__xludf.DUMMYFUNCTION("""COMPUTED_VALUE"""),0.0)</f>
        <v>0</v>
      </c>
      <c r="G36" s="30">
        <v>70000.0</v>
      </c>
      <c r="H36" s="31">
        <f t="shared" si="9"/>
        <v>0</v>
      </c>
      <c r="I36" s="31">
        <f t="shared" si="10"/>
        <v>0</v>
      </c>
      <c r="J36" s="32" t="str">
        <f t="shared" si="11"/>
        <v/>
      </c>
      <c r="K36" s="41"/>
      <c r="L36" s="33">
        <f t="shared" si="12"/>
        <v>0</v>
      </c>
      <c r="M36" s="41"/>
      <c r="N36" s="41"/>
      <c r="O36" s="34">
        <f t="shared" si="13"/>
        <v>0</v>
      </c>
      <c r="P36" s="36"/>
      <c r="Q36" s="36"/>
      <c r="R36" s="37">
        <f t="shared" si="14"/>
        <v>0</v>
      </c>
      <c r="S36" s="38">
        <f t="shared" si="15"/>
        <v>0</v>
      </c>
      <c r="T36" s="52"/>
      <c r="U36" s="42">
        <f>IFERROR(__xludf.DUMMYFUNCTION("""COMPUTED_VALUE"""),0.0)</f>
        <v>0</v>
      </c>
      <c r="V36" s="24"/>
      <c r="W36" s="24"/>
    </row>
    <row r="37" ht="37.5" customHeight="1">
      <c r="A37" s="24"/>
      <c r="B37" s="25">
        <v>4.0</v>
      </c>
      <c r="C37" s="26" t="str">
        <f>IFERROR(__xludf.DUMMYFUNCTION("""COMPUTED_VALUE"""),"ANDRI")</f>
        <v>ANDRI</v>
      </c>
      <c r="D37" s="27" t="str">
        <f>IFERROR(__xludf.DUMMYFUNCTION("""COMPUTED_VALUE"""),"DESIGN BORDIR")</f>
        <v>DESIGN BORDIR</v>
      </c>
      <c r="E37" s="28"/>
      <c r="F37" s="52">
        <f>IFERROR(__xludf.DUMMYFUNCTION("""COMPUTED_VALUE"""),0.0)</f>
        <v>0</v>
      </c>
      <c r="G37" s="30">
        <v>70000.0</v>
      </c>
      <c r="H37" s="31">
        <f t="shared" si="9"/>
        <v>0</v>
      </c>
      <c r="I37" s="31">
        <f t="shared" si="10"/>
        <v>0</v>
      </c>
      <c r="J37" s="32" t="str">
        <f t="shared" si="11"/>
        <v/>
      </c>
      <c r="K37" s="32"/>
      <c r="L37" s="33">
        <f t="shared" si="12"/>
        <v>0</v>
      </c>
      <c r="M37" s="32"/>
      <c r="N37" s="32"/>
      <c r="O37" s="34">
        <f t="shared" si="13"/>
        <v>0</v>
      </c>
      <c r="P37" s="36"/>
      <c r="Q37" s="36"/>
      <c r="R37" s="37">
        <f t="shared" si="14"/>
        <v>0</v>
      </c>
      <c r="S37" s="38">
        <f t="shared" si="15"/>
        <v>0</v>
      </c>
      <c r="T37" s="52"/>
      <c r="U37" s="42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6" t="str">
        <f>IFERROR(__xludf.DUMMYFUNCTION("""COMPUTED_VALUE"""),"ADIT")</f>
        <v>ADIT</v>
      </c>
      <c r="D38" s="27" t="str">
        <f>IFERROR(__xludf.DUMMYFUNCTION("""COMPUTED_VALUE"""),"CREATOR")</f>
        <v>CREATOR</v>
      </c>
      <c r="E38" s="28"/>
      <c r="F38" s="52">
        <f>IFERROR(__xludf.DUMMYFUNCTION("""COMPUTED_VALUE"""),0.0)</f>
        <v>0</v>
      </c>
      <c r="G38" s="30">
        <v>50000.0</v>
      </c>
      <c r="H38" s="31">
        <f t="shared" si="9"/>
        <v>0</v>
      </c>
      <c r="I38" s="31">
        <f t="shared" si="10"/>
        <v>0</v>
      </c>
      <c r="J38" s="32" t="str">
        <f t="shared" si="11"/>
        <v/>
      </c>
      <c r="K38" s="32"/>
      <c r="L38" s="33">
        <f t="shared" si="12"/>
        <v>0</v>
      </c>
      <c r="M38" s="32"/>
      <c r="N38" s="32"/>
      <c r="O38" s="34">
        <f t="shared" si="13"/>
        <v>0</v>
      </c>
      <c r="P38" s="36"/>
      <c r="Q38" s="36"/>
      <c r="R38" s="37">
        <f t="shared" si="14"/>
        <v>0</v>
      </c>
      <c r="S38" s="38">
        <f t="shared" si="15"/>
        <v>0</v>
      </c>
      <c r="T38" s="52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6" t="str">
        <f>IFERROR(__xludf.DUMMYFUNCTION("""COMPUTED_VALUE"""),"WILI")</f>
        <v>WILI</v>
      </c>
      <c r="D39" s="27" t="str">
        <f>IFERROR(__xludf.DUMMYFUNCTION("""COMPUTED_VALUE"""),"OP MESIN")</f>
        <v>OP MESIN</v>
      </c>
      <c r="E39" s="28"/>
      <c r="F39" s="52">
        <f>IFERROR(__xludf.DUMMYFUNCTION("""COMPUTED_VALUE"""),0.0)</f>
        <v>0</v>
      </c>
      <c r="G39" s="30">
        <v>70000.0</v>
      </c>
      <c r="H39" s="31">
        <f t="shared" si="9"/>
        <v>0</v>
      </c>
      <c r="I39" s="31">
        <f t="shared" si="10"/>
        <v>0</v>
      </c>
      <c r="J39" s="32" t="str">
        <f t="shared" si="11"/>
        <v/>
      </c>
      <c r="K39" s="32"/>
      <c r="L39" s="33">
        <f t="shared" si="12"/>
        <v>0</v>
      </c>
      <c r="M39" s="32"/>
      <c r="N39" s="32"/>
      <c r="O39" s="34">
        <f t="shared" si="13"/>
        <v>0</v>
      </c>
      <c r="P39" s="35"/>
      <c r="Q39" s="36"/>
      <c r="R39" s="37">
        <f t="shared" si="14"/>
        <v>0</v>
      </c>
      <c r="S39" s="38">
        <f t="shared" si="15"/>
        <v>0</v>
      </c>
      <c r="T39" s="52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6" t="str">
        <f>IFERROR(__xludf.DUMMYFUNCTION("""COMPUTED_VALUE"""),"OGA")</f>
        <v>OGA</v>
      </c>
      <c r="D40" s="27" t="str">
        <f>IFERROR(__xludf.DUMMYFUNCTION("""COMPUTED_VALUE"""),"OP MESIN")</f>
        <v>OP MESIN</v>
      </c>
      <c r="E40" s="28"/>
      <c r="F40" s="52">
        <f>IFERROR(__xludf.DUMMYFUNCTION("""COMPUTED_VALUE"""),0.0)</f>
        <v>0</v>
      </c>
      <c r="G40" s="30">
        <v>70000.0</v>
      </c>
      <c r="H40" s="31">
        <f t="shared" si="9"/>
        <v>0</v>
      </c>
      <c r="I40" s="31">
        <f t="shared" si="10"/>
        <v>0</v>
      </c>
      <c r="J40" s="32" t="str">
        <f t="shared" si="11"/>
        <v/>
      </c>
      <c r="K40" s="32"/>
      <c r="L40" s="33">
        <f t="shared" si="12"/>
        <v>0</v>
      </c>
      <c r="M40" s="32"/>
      <c r="N40" s="32"/>
      <c r="O40" s="34">
        <f t="shared" si="13"/>
        <v>0</v>
      </c>
      <c r="P40" s="36"/>
      <c r="Q40" s="36"/>
      <c r="R40" s="37">
        <f t="shared" si="14"/>
        <v>0</v>
      </c>
      <c r="S40" s="38">
        <f t="shared" si="15"/>
        <v>0</v>
      </c>
      <c r="T40" s="52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6" t="str">
        <f>IFERROR(__xludf.DUMMYFUNCTION("""COMPUTED_VALUE"""),"ASEP")</f>
        <v>ASEP</v>
      </c>
      <c r="D41" s="27" t="str">
        <f>IFERROR(__xludf.DUMMYFUNCTION("""COMPUTED_VALUE"""),"OP MESIN")</f>
        <v>OP MESIN</v>
      </c>
      <c r="E41" s="28"/>
      <c r="F41" s="52">
        <f>IFERROR(__xludf.DUMMYFUNCTION("""COMPUTED_VALUE"""),0.0)</f>
        <v>0</v>
      </c>
      <c r="G41" s="30">
        <v>50000.0</v>
      </c>
      <c r="H41" s="31">
        <f t="shared" si="9"/>
        <v>0</v>
      </c>
      <c r="I41" s="31">
        <f t="shared" si="10"/>
        <v>0</v>
      </c>
      <c r="J41" s="32" t="str">
        <f t="shared" si="11"/>
        <v/>
      </c>
      <c r="K41" s="32"/>
      <c r="L41" s="33">
        <f t="shared" si="12"/>
        <v>0</v>
      </c>
      <c r="M41" s="32"/>
      <c r="N41" s="32"/>
      <c r="O41" s="34">
        <f t="shared" si="13"/>
        <v>0</v>
      </c>
      <c r="P41" s="36"/>
      <c r="Q41" s="36"/>
      <c r="R41" s="37">
        <f t="shared" si="14"/>
        <v>0</v>
      </c>
      <c r="S41" s="38">
        <f t="shared" si="15"/>
        <v>0</v>
      </c>
      <c r="T41" s="52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6" t="str">
        <f>IFERROR(__xludf.DUMMYFUNCTION("""COMPUTED_VALUE"""),"HIFNI")</f>
        <v>HIFNI</v>
      </c>
      <c r="D42" s="27" t="str">
        <f>IFERROR(__xludf.DUMMYFUNCTION("""COMPUTED_VALUE"""),"OP MESIN")</f>
        <v>OP MESIN</v>
      </c>
      <c r="E42" s="28"/>
      <c r="F42" s="52">
        <f>IFERROR(__xludf.DUMMYFUNCTION("""COMPUTED_VALUE"""),0.0)</f>
        <v>0</v>
      </c>
      <c r="G42" s="30">
        <v>50000.0</v>
      </c>
      <c r="H42" s="31">
        <f t="shared" si="9"/>
        <v>0</v>
      </c>
      <c r="I42" s="31">
        <f t="shared" si="10"/>
        <v>0</v>
      </c>
      <c r="J42" s="32" t="str">
        <f t="shared" si="11"/>
        <v/>
      </c>
      <c r="K42" s="32"/>
      <c r="L42" s="33">
        <f t="shared" si="12"/>
        <v>0</v>
      </c>
      <c r="M42" s="32"/>
      <c r="N42" s="32"/>
      <c r="O42" s="34">
        <f t="shared" si="13"/>
        <v>0</v>
      </c>
      <c r="P42" s="36"/>
      <c r="Q42" s="36"/>
      <c r="R42" s="37">
        <f t="shared" si="14"/>
        <v>0</v>
      </c>
      <c r="S42" s="38">
        <f t="shared" si="15"/>
        <v>0</v>
      </c>
      <c r="T42" s="52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49" t="str">
        <f>IFERROR(__xludf.DUMMYFUNCTION("""COMPUTED_VALUE"""),"IIS")</f>
        <v>IIS</v>
      </c>
      <c r="D43" s="27" t="str">
        <f>IFERROR(__xludf.DUMMYFUNCTION("""COMPUTED_VALUE"""),"PACKING")</f>
        <v>PACKING</v>
      </c>
      <c r="E43" s="51"/>
      <c r="F43" s="52">
        <f>IFERROR(__xludf.DUMMYFUNCTION("""COMPUTED_VALUE"""),0.0)</f>
        <v>0</v>
      </c>
      <c r="G43" s="45"/>
      <c r="H43" s="31">
        <f t="shared" si="9"/>
        <v>0</v>
      </c>
      <c r="I43" s="31">
        <f t="shared" si="10"/>
        <v>0</v>
      </c>
      <c r="J43" s="32" t="str">
        <f t="shared" si="11"/>
        <v/>
      </c>
      <c r="K43" s="32"/>
      <c r="L43" s="33">
        <f t="shared" si="12"/>
        <v>0</v>
      </c>
      <c r="M43" s="32"/>
      <c r="N43" s="32"/>
      <c r="O43" s="34">
        <f t="shared" si="13"/>
        <v>0</v>
      </c>
      <c r="P43" s="36"/>
      <c r="Q43" s="36"/>
      <c r="R43" s="37">
        <f t="shared" si="14"/>
        <v>0</v>
      </c>
      <c r="S43" s="38">
        <f t="shared" si="15"/>
        <v>0</v>
      </c>
      <c r="T43" s="52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49"/>
      <c r="D44" s="50"/>
      <c r="E44" s="51"/>
      <c r="F44" s="52">
        <f>IFERROR(__xludf.DUMMYFUNCTION("""COMPUTED_VALUE"""),0.0)</f>
        <v>0</v>
      </c>
      <c r="G44" s="45"/>
      <c r="H44" s="31">
        <f t="shared" si="9"/>
        <v>0</v>
      </c>
      <c r="I44" s="31">
        <f t="shared" si="10"/>
        <v>0</v>
      </c>
      <c r="J44" s="32" t="str">
        <f t="shared" si="11"/>
        <v/>
      </c>
      <c r="K44" s="32"/>
      <c r="L44" s="33">
        <f t="shared" si="12"/>
        <v>0</v>
      </c>
      <c r="M44" s="32"/>
      <c r="N44" s="32"/>
      <c r="O44" s="34">
        <f t="shared" si="13"/>
        <v>0</v>
      </c>
      <c r="P44" s="36"/>
      <c r="Q44" s="36"/>
      <c r="R44" s="37">
        <f t="shared" si="14"/>
        <v>0</v>
      </c>
      <c r="S44" s="38">
        <f t="shared" si="15"/>
        <v>0</v>
      </c>
      <c r="T44" s="52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49"/>
      <c r="D45" s="50"/>
      <c r="E45" s="51"/>
      <c r="F45" s="52">
        <f>IFERROR(__xludf.DUMMYFUNCTION("""COMPUTED_VALUE"""),0.0)</f>
        <v>0</v>
      </c>
      <c r="G45" s="45"/>
      <c r="H45" s="31">
        <f t="shared" si="9"/>
        <v>0</v>
      </c>
      <c r="I45" s="31">
        <f t="shared" si="10"/>
        <v>0</v>
      </c>
      <c r="J45" s="32" t="str">
        <f t="shared" si="11"/>
        <v/>
      </c>
      <c r="K45" s="32"/>
      <c r="L45" s="33">
        <f t="shared" si="12"/>
        <v>0</v>
      </c>
      <c r="M45" s="32"/>
      <c r="N45" s="32"/>
      <c r="O45" s="34">
        <f t="shared" si="13"/>
        <v>0</v>
      </c>
      <c r="P45" s="44"/>
      <c r="Q45" s="44"/>
      <c r="R45" s="37">
        <f t="shared" si="14"/>
        <v>0</v>
      </c>
      <c r="S45" s="38">
        <f t="shared" si="15"/>
        <v>0</v>
      </c>
      <c r="T45" s="52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49"/>
      <c r="D46" s="50"/>
      <c r="E46" s="51"/>
      <c r="F46" s="52">
        <f>IFERROR(__xludf.DUMMYFUNCTION("""COMPUTED_VALUE"""),0.0)</f>
        <v>0</v>
      </c>
      <c r="G46" s="45"/>
      <c r="H46" s="31">
        <f t="shared" si="9"/>
        <v>0</v>
      </c>
      <c r="I46" s="31">
        <f t="shared" si="10"/>
        <v>0</v>
      </c>
      <c r="J46" s="32" t="str">
        <f t="shared" si="11"/>
        <v/>
      </c>
      <c r="K46" s="32"/>
      <c r="L46" s="33">
        <f t="shared" si="12"/>
        <v>0</v>
      </c>
      <c r="M46" s="32"/>
      <c r="N46" s="32"/>
      <c r="O46" s="34">
        <f t="shared" si="13"/>
        <v>0</v>
      </c>
      <c r="P46" s="44"/>
      <c r="Q46" s="44"/>
      <c r="R46" s="37">
        <f t="shared" si="14"/>
        <v>0</v>
      </c>
      <c r="S46" s="38">
        <f t="shared" si="15"/>
        <v>0</v>
      </c>
      <c r="T46" s="39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49"/>
      <c r="D47" s="50"/>
      <c r="E47" s="51"/>
      <c r="F47" s="52">
        <f>IFERROR(__xludf.DUMMYFUNCTION("""COMPUTED_VALUE"""),0.0)</f>
        <v>0</v>
      </c>
      <c r="G47" s="45"/>
      <c r="H47" s="31">
        <f t="shared" si="9"/>
        <v>0</v>
      </c>
      <c r="I47" s="31">
        <f t="shared" si="10"/>
        <v>0</v>
      </c>
      <c r="J47" s="32" t="str">
        <f t="shared" si="11"/>
        <v/>
      </c>
      <c r="K47" s="32"/>
      <c r="L47" s="33">
        <f t="shared" si="12"/>
        <v>0</v>
      </c>
      <c r="M47" s="32"/>
      <c r="N47" s="32"/>
      <c r="O47" s="34">
        <f t="shared" si="13"/>
        <v>0</v>
      </c>
      <c r="P47" s="44"/>
      <c r="Q47" s="44"/>
      <c r="R47" s="37">
        <f t="shared" si="14"/>
        <v>0</v>
      </c>
      <c r="S47" s="38">
        <f t="shared" si="15"/>
        <v>0</v>
      </c>
      <c r="T47" s="39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49"/>
      <c r="D48" s="50"/>
      <c r="E48" s="51"/>
      <c r="F48" s="52">
        <f>IFERROR(__xludf.DUMMYFUNCTION("""COMPUTED_VALUE"""),0.0)</f>
        <v>0</v>
      </c>
      <c r="G48" s="45"/>
      <c r="H48" s="31">
        <f t="shared" si="9"/>
        <v>0</v>
      </c>
      <c r="I48" s="31">
        <f t="shared" si="10"/>
        <v>0</v>
      </c>
      <c r="J48" s="32" t="str">
        <f t="shared" si="11"/>
        <v/>
      </c>
      <c r="K48" s="32"/>
      <c r="L48" s="33">
        <f t="shared" si="12"/>
        <v>0</v>
      </c>
      <c r="M48" s="32"/>
      <c r="N48" s="32"/>
      <c r="O48" s="34">
        <f t="shared" si="13"/>
        <v>0</v>
      </c>
      <c r="P48" s="44"/>
      <c r="Q48" s="44"/>
      <c r="R48" s="37">
        <f t="shared" si="14"/>
        <v>0</v>
      </c>
      <c r="S48" s="38">
        <f t="shared" si="15"/>
        <v>0</v>
      </c>
      <c r="T48" s="52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49"/>
      <c r="D49" s="50"/>
      <c r="E49" s="51"/>
      <c r="F49" s="52">
        <f>IFERROR(__xludf.DUMMYFUNCTION("""COMPUTED_VALUE"""),0.0)</f>
        <v>0</v>
      </c>
      <c r="G49" s="45"/>
      <c r="H49" s="31">
        <f t="shared" si="9"/>
        <v>0</v>
      </c>
      <c r="I49" s="31">
        <f t="shared" si="10"/>
        <v>0</v>
      </c>
      <c r="J49" s="32" t="str">
        <f t="shared" si="11"/>
        <v/>
      </c>
      <c r="K49" s="32"/>
      <c r="L49" s="33">
        <f t="shared" si="12"/>
        <v>0</v>
      </c>
      <c r="M49" s="32"/>
      <c r="N49" s="32"/>
      <c r="O49" s="34">
        <f t="shared" si="13"/>
        <v>0</v>
      </c>
      <c r="P49" s="44"/>
      <c r="Q49" s="44"/>
      <c r="R49" s="37">
        <f t="shared" si="14"/>
        <v>0</v>
      </c>
      <c r="S49" s="38">
        <f t="shared" si="15"/>
        <v>0</v>
      </c>
      <c r="T49" s="39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49"/>
      <c r="D50" s="50"/>
      <c r="E50" s="51"/>
      <c r="F50" s="52">
        <f>IFERROR(__xludf.DUMMYFUNCTION("""COMPUTED_VALUE"""),0.0)</f>
        <v>0</v>
      </c>
      <c r="G50" s="45"/>
      <c r="H50" s="31">
        <f t="shared" si="9"/>
        <v>0</v>
      </c>
      <c r="I50" s="31">
        <f t="shared" si="10"/>
        <v>0</v>
      </c>
      <c r="J50" s="32" t="str">
        <f t="shared" si="11"/>
        <v/>
      </c>
      <c r="K50" s="32"/>
      <c r="L50" s="33">
        <f t="shared" si="12"/>
        <v>0</v>
      </c>
      <c r="M50" s="32"/>
      <c r="N50" s="32"/>
      <c r="O50" s="34">
        <f t="shared" si="13"/>
        <v>0</v>
      </c>
      <c r="P50" s="44"/>
      <c r="Q50" s="44"/>
      <c r="R50" s="37">
        <f t="shared" si="14"/>
        <v>0</v>
      </c>
      <c r="S50" s="38">
        <f t="shared" si="15"/>
        <v>0</v>
      </c>
      <c r="T50" s="39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9"/>
        <v>0</v>
      </c>
      <c r="I51" s="31">
        <f t="shared" si="10"/>
        <v>0</v>
      </c>
      <c r="J51" s="32" t="str">
        <f t="shared" si="11"/>
        <v/>
      </c>
      <c r="K51" s="32"/>
      <c r="L51" s="33">
        <f t="shared" si="12"/>
        <v>0</v>
      </c>
      <c r="M51" s="32"/>
      <c r="N51" s="32"/>
      <c r="O51" s="34">
        <f t="shared" si="13"/>
        <v>0</v>
      </c>
      <c r="P51" s="44"/>
      <c r="Q51" s="44"/>
      <c r="R51" s="37">
        <f t="shared" si="14"/>
        <v>0</v>
      </c>
      <c r="S51" s="38">
        <f t="shared" si="15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9"/>
        <v>0</v>
      </c>
      <c r="I52" s="31">
        <f t="shared" si="10"/>
        <v>0</v>
      </c>
      <c r="J52" s="32" t="str">
        <f t="shared" si="11"/>
        <v/>
      </c>
      <c r="K52" s="32"/>
      <c r="L52" s="33">
        <f t="shared" si="12"/>
        <v>0</v>
      </c>
      <c r="M52" s="32"/>
      <c r="N52" s="32"/>
      <c r="O52" s="34">
        <f t="shared" si="13"/>
        <v>0</v>
      </c>
      <c r="P52" s="44"/>
      <c r="Q52" s="44"/>
      <c r="R52" s="37">
        <f t="shared" si="14"/>
        <v>0</v>
      </c>
      <c r="S52" s="38">
        <f t="shared" si="15"/>
        <v>0</v>
      </c>
      <c r="T52" s="51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9"/>
        <v>0</v>
      </c>
      <c r="I53" s="31">
        <f t="shared" si="10"/>
        <v>0</v>
      </c>
      <c r="J53" s="32" t="str">
        <f t="shared" si="11"/>
        <v/>
      </c>
      <c r="K53" s="32"/>
      <c r="L53" s="33">
        <f t="shared" si="12"/>
        <v>0</v>
      </c>
      <c r="M53" s="32"/>
      <c r="N53" s="32"/>
      <c r="O53" s="34">
        <f t="shared" si="13"/>
        <v>0</v>
      </c>
      <c r="P53" s="44"/>
      <c r="Q53" s="44"/>
      <c r="R53" s="37">
        <f t="shared" si="14"/>
        <v>0</v>
      </c>
      <c r="S53" s="38">
        <f t="shared" si="15"/>
        <v>0</v>
      </c>
      <c r="T53" s="51"/>
      <c r="U53" s="42"/>
      <c r="V53" s="24"/>
      <c r="W53" s="24"/>
    </row>
    <row r="54" ht="37.5" customHeight="1">
      <c r="B54" s="25">
        <v>21.0</v>
      </c>
      <c r="C54" s="49"/>
      <c r="D54" s="51"/>
      <c r="E54" s="51"/>
      <c r="F54" s="42"/>
      <c r="G54" s="53"/>
      <c r="H54" s="31">
        <f t="shared" si="9"/>
        <v>0</v>
      </c>
      <c r="I54" s="31">
        <f t="shared" si="10"/>
        <v>0</v>
      </c>
      <c r="J54" s="32" t="str">
        <f t="shared" si="11"/>
        <v/>
      </c>
      <c r="K54" s="32"/>
      <c r="L54" s="33">
        <f t="shared" si="12"/>
        <v>0</v>
      </c>
      <c r="M54" s="32"/>
      <c r="N54" s="32"/>
      <c r="O54" s="34">
        <f t="shared" si="13"/>
        <v>0</v>
      </c>
      <c r="P54" s="44"/>
      <c r="Q54" s="44"/>
      <c r="R54" s="37">
        <f t="shared" si="14"/>
        <v>0</v>
      </c>
      <c r="S54" s="38">
        <f t="shared" si="15"/>
        <v>0</v>
      </c>
      <c r="T54" s="51"/>
      <c r="U54" s="42"/>
    </row>
    <row r="55" ht="37.5" customHeight="1">
      <c r="B55" s="25">
        <v>22.0</v>
      </c>
      <c r="C55" s="49"/>
      <c r="D55" s="51"/>
      <c r="E55" s="51"/>
      <c r="F55" s="42"/>
      <c r="G55" s="53"/>
      <c r="H55" s="31">
        <f t="shared" si="9"/>
        <v>0</v>
      </c>
      <c r="I55" s="31">
        <f t="shared" si="10"/>
        <v>0</v>
      </c>
      <c r="J55" s="32" t="str">
        <f t="shared" si="11"/>
        <v/>
      </c>
      <c r="K55" s="32"/>
      <c r="L55" s="33">
        <f t="shared" si="12"/>
        <v>0</v>
      </c>
      <c r="M55" s="32"/>
      <c r="N55" s="32"/>
      <c r="O55" s="34">
        <f t="shared" si="13"/>
        <v>0</v>
      </c>
      <c r="P55" s="44"/>
      <c r="Q55" s="44"/>
      <c r="R55" s="37">
        <f t="shared" si="14"/>
        <v>0</v>
      </c>
      <c r="S55" s="38">
        <f t="shared" si="15"/>
        <v>0</v>
      </c>
      <c r="T55" s="51"/>
      <c r="U55" s="42"/>
    </row>
    <row r="56" ht="37.5" customHeight="1">
      <c r="B56" s="54"/>
      <c r="F56" s="55" t="s">
        <v>21</v>
      </c>
      <c r="S56" s="56">
        <f>SUM(S34:S55)</f>
        <v>0</v>
      </c>
      <c r="T56" s="57"/>
      <c r="U56" s="58"/>
    </row>
    <row r="57" ht="37.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t="37.5" customHeight="1">
      <c r="B58" s="21" t="str">
        <f>IFERROR(__xludf.DUMMYFUNCTION("IMPORTRANGE(""https://docs.google.com/spreadsheets/d/17TnzcKnlaqlAyM_3lnNpgK5CAOPbscCCRVH50X8UulY/edit?usp=sharing"",""NOVEMBER!B50"")"),"TANGGAL : 16-21 NOVEMBER 2026")</f>
        <v>TANGGAL : 16-21 NOVEMBER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6" t="str">
        <f>IFERROR(__xludf.DUMMYFUNCTION("IMPORTRANGE(""https://docs.google.com/spreadsheets/d/17TnzcKnlaqlAyM_3lnNpgK5CAOPbscCCRVH50X8UulY/edit?usp=sharing"",""NOVEMBER!B51:D70"")"),"EPUL")</f>
        <v>EPUL</v>
      </c>
      <c r="D59" s="27" t="str">
        <f>IFERROR(__xludf.DUMMYFUNCTION("""COMPUTED_VALUE"""),"KEPALA")</f>
        <v>KEPALA</v>
      </c>
      <c r="E59" s="28"/>
      <c r="F59" s="52">
        <f>IFERROR(__xludf.DUMMYFUNCTION("IMPORTRANGE(""https://docs.google.com/spreadsheets/d/17TnzcKnlaqlAyM_3lnNpgK5CAOPbscCCRVH50X8UulY/edit?usp=sharing"",""NOVEMBER!K51:K69"")"),0.0)</f>
        <v>0</v>
      </c>
      <c r="G59" s="30">
        <v>110000.0</v>
      </c>
      <c r="H59" s="31">
        <f t="shared" ref="H59:H80" si="16">F59*G59</f>
        <v>0</v>
      </c>
      <c r="I59" s="31">
        <f t="shared" ref="I59:I80" si="17">F59*10000</f>
        <v>0</v>
      </c>
      <c r="J59" s="32" t="str">
        <f t="shared" ref="J59:J80" si="18">IF(E59="SHIFT 2",I59,"")</f>
        <v/>
      </c>
      <c r="K59" s="32"/>
      <c r="L59" s="33">
        <f t="shared" ref="L59:L80" si="19">U59*$L$58</f>
        <v>0</v>
      </c>
      <c r="M59" s="32"/>
      <c r="N59" s="32"/>
      <c r="O59" s="34">
        <f t="shared" ref="O59:O80" si="20">SUM(H59:N59)</f>
        <v>0</v>
      </c>
      <c r="P59" s="44"/>
      <c r="Q59" s="44"/>
      <c r="R59" s="37">
        <f t="shared" ref="R59:R80" si="21">SUM(P59:Q59)</f>
        <v>0</v>
      </c>
      <c r="S59" s="38">
        <f t="shared" ref="S59:S80" si="22">O59-R59</f>
        <v>0</v>
      </c>
      <c r="T59" s="52" t="str">
        <f>IFERROR(__xludf.DUMMYFUNCTION("IMPORTRANGE(""https://docs.google.com/spreadsheets/d/17TnzcKnlaqlAyM_3lnNpgK5CAOPbscCCRVH50X8UulY/edit?usp=sharing"",""NOVEMBER!L51:L69"")"),"")</f>
        <v/>
      </c>
      <c r="U59" s="42">
        <f>IFERROR(__xludf.DUMMYFUNCTION("IMPORTRANGE(""https://docs.google.com/spreadsheets/d/17TnzcKnlaqlAyM_3lnNpgK5CAOPbscCCRVH50X8UulY/edit?usp=sharing"",""NOVEMBER!U51:U69"")"),0.0)</f>
        <v>0</v>
      </c>
      <c r="V59" s="24"/>
      <c r="W59" s="24"/>
    </row>
    <row r="60" ht="37.5" customHeight="1">
      <c r="A60" s="24"/>
      <c r="B60" s="25">
        <v>2.0</v>
      </c>
      <c r="C60" s="26" t="str">
        <f>IFERROR(__xludf.DUMMYFUNCTION("""COMPUTED_VALUE"""),"HISMI")</f>
        <v>HISMI</v>
      </c>
      <c r="D60" s="27" t="str">
        <f>IFERROR(__xludf.DUMMYFUNCTION("""COMPUTED_VALUE"""),"ADMIN")</f>
        <v>ADMIN</v>
      </c>
      <c r="E60" s="28"/>
      <c r="F60" s="52">
        <f>IFERROR(__xludf.DUMMYFUNCTION("""COMPUTED_VALUE"""),0.0)</f>
        <v>0</v>
      </c>
      <c r="G60" s="30">
        <v>70000.0</v>
      </c>
      <c r="H60" s="31">
        <f t="shared" si="16"/>
        <v>0</v>
      </c>
      <c r="I60" s="31">
        <f t="shared" si="17"/>
        <v>0</v>
      </c>
      <c r="J60" s="32" t="str">
        <f t="shared" si="18"/>
        <v/>
      </c>
      <c r="K60" s="41"/>
      <c r="L60" s="33">
        <f t="shared" si="19"/>
        <v>0</v>
      </c>
      <c r="M60" s="41"/>
      <c r="N60" s="41"/>
      <c r="O60" s="34">
        <f t="shared" si="20"/>
        <v>0</v>
      </c>
      <c r="P60" s="35"/>
      <c r="Q60" s="36"/>
      <c r="R60" s="37">
        <f t="shared" si="21"/>
        <v>0</v>
      </c>
      <c r="S60" s="38">
        <f t="shared" si="22"/>
        <v>0</v>
      </c>
      <c r="T60" s="52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6"/>
      <c r="D61" s="27" t="str">
        <f>IFERROR(__xludf.DUMMYFUNCTION("""COMPUTED_VALUE"""),"ADMIN")</f>
        <v>ADMIN</v>
      </c>
      <c r="E61" s="28"/>
      <c r="F61" s="52">
        <f>IFERROR(__xludf.DUMMYFUNCTION("""COMPUTED_VALUE"""),0.0)</f>
        <v>0</v>
      </c>
      <c r="G61" s="30">
        <v>70000.0</v>
      </c>
      <c r="H61" s="31">
        <f t="shared" si="16"/>
        <v>0</v>
      </c>
      <c r="I61" s="31">
        <f t="shared" si="17"/>
        <v>0</v>
      </c>
      <c r="J61" s="32" t="str">
        <f t="shared" si="18"/>
        <v/>
      </c>
      <c r="K61" s="41"/>
      <c r="L61" s="33">
        <f t="shared" si="19"/>
        <v>0</v>
      </c>
      <c r="M61" s="41"/>
      <c r="N61" s="41"/>
      <c r="O61" s="34">
        <f t="shared" si="20"/>
        <v>0</v>
      </c>
      <c r="P61" s="35"/>
      <c r="Q61" s="36"/>
      <c r="R61" s="37">
        <f t="shared" si="21"/>
        <v>0</v>
      </c>
      <c r="S61" s="38">
        <f t="shared" si="22"/>
        <v>0</v>
      </c>
      <c r="T61" s="52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6" t="str">
        <f>IFERROR(__xludf.DUMMYFUNCTION("""COMPUTED_VALUE"""),"ANDRI")</f>
        <v>ANDRI</v>
      </c>
      <c r="D62" s="27" t="str">
        <f>IFERROR(__xludf.DUMMYFUNCTION("""COMPUTED_VALUE"""),"DESIGN BORDIR")</f>
        <v>DESIGN BORDIR</v>
      </c>
      <c r="E62" s="28"/>
      <c r="F62" s="52">
        <f>IFERROR(__xludf.DUMMYFUNCTION("""COMPUTED_VALUE"""),0.0)</f>
        <v>0</v>
      </c>
      <c r="G62" s="30">
        <v>70000.0</v>
      </c>
      <c r="H62" s="31">
        <f t="shared" si="16"/>
        <v>0</v>
      </c>
      <c r="I62" s="31">
        <f t="shared" si="17"/>
        <v>0</v>
      </c>
      <c r="J62" s="32" t="str">
        <f t="shared" si="18"/>
        <v/>
      </c>
      <c r="K62" s="32"/>
      <c r="L62" s="33">
        <f t="shared" si="19"/>
        <v>0</v>
      </c>
      <c r="M62" s="32"/>
      <c r="N62" s="32"/>
      <c r="O62" s="34">
        <f t="shared" si="20"/>
        <v>0</v>
      </c>
      <c r="P62" s="36"/>
      <c r="Q62" s="36"/>
      <c r="R62" s="37">
        <f t="shared" si="21"/>
        <v>0</v>
      </c>
      <c r="S62" s="38">
        <f t="shared" si="22"/>
        <v>0</v>
      </c>
      <c r="T62" s="52"/>
      <c r="U62" s="42">
        <f>IFERROR(__xludf.DUMMYFUNCTION("""COMPUTED_VALUE"""),0.0)</f>
        <v>0</v>
      </c>
      <c r="V62" s="63"/>
      <c r="W62" s="63"/>
    </row>
    <row r="63" ht="37.5" customHeight="1">
      <c r="B63" s="25">
        <v>5.0</v>
      </c>
      <c r="C63" s="26" t="str">
        <f>IFERROR(__xludf.DUMMYFUNCTION("""COMPUTED_VALUE"""),"ADIT")</f>
        <v>ADIT</v>
      </c>
      <c r="D63" s="27" t="str">
        <f>IFERROR(__xludf.DUMMYFUNCTION("""COMPUTED_VALUE"""),"CREATOR")</f>
        <v>CREATOR</v>
      </c>
      <c r="E63" s="28"/>
      <c r="F63" s="52">
        <f>IFERROR(__xludf.DUMMYFUNCTION("""COMPUTED_VALUE"""),0.0)</f>
        <v>0</v>
      </c>
      <c r="G63" s="30">
        <v>50000.0</v>
      </c>
      <c r="H63" s="31">
        <f t="shared" si="16"/>
        <v>0</v>
      </c>
      <c r="I63" s="31">
        <f t="shared" si="17"/>
        <v>0</v>
      </c>
      <c r="J63" s="32" t="str">
        <f t="shared" si="18"/>
        <v/>
      </c>
      <c r="K63" s="32"/>
      <c r="L63" s="33">
        <f t="shared" si="19"/>
        <v>0</v>
      </c>
      <c r="M63" s="66"/>
      <c r="N63" s="32"/>
      <c r="O63" s="34">
        <f t="shared" si="20"/>
        <v>0</v>
      </c>
      <c r="P63" s="36"/>
      <c r="Q63" s="36"/>
      <c r="R63" s="37">
        <f t="shared" si="21"/>
        <v>0</v>
      </c>
      <c r="S63" s="38">
        <f t="shared" si="22"/>
        <v>0</v>
      </c>
      <c r="T63" s="52"/>
      <c r="U63" s="42">
        <f>IFERROR(__xludf.DUMMYFUNCTION("""COMPUTED_VALUE"""),0.0)</f>
        <v>0</v>
      </c>
      <c r="V63" s="63"/>
      <c r="W63" s="63"/>
    </row>
    <row r="64" ht="37.5" customHeight="1">
      <c r="B64" s="25">
        <v>6.0</v>
      </c>
      <c r="C64" s="26" t="str">
        <f>IFERROR(__xludf.DUMMYFUNCTION("""COMPUTED_VALUE"""),"WILI")</f>
        <v>WILI</v>
      </c>
      <c r="D64" s="27" t="str">
        <f>IFERROR(__xludf.DUMMYFUNCTION("""COMPUTED_VALUE"""),"OP MESIN")</f>
        <v>OP MESIN</v>
      </c>
      <c r="E64" s="28"/>
      <c r="F64" s="52">
        <f>IFERROR(__xludf.DUMMYFUNCTION("""COMPUTED_VALUE"""),0.0)</f>
        <v>0</v>
      </c>
      <c r="G64" s="30">
        <v>70000.0</v>
      </c>
      <c r="H64" s="31">
        <f t="shared" si="16"/>
        <v>0</v>
      </c>
      <c r="I64" s="31">
        <f t="shared" si="17"/>
        <v>0</v>
      </c>
      <c r="J64" s="32" t="str">
        <f t="shared" si="18"/>
        <v/>
      </c>
      <c r="K64" s="32"/>
      <c r="L64" s="33">
        <f t="shared" si="19"/>
        <v>0</v>
      </c>
      <c r="M64" s="66"/>
      <c r="N64" s="32"/>
      <c r="O64" s="34">
        <f t="shared" si="20"/>
        <v>0</v>
      </c>
      <c r="P64" s="36"/>
      <c r="Q64" s="36"/>
      <c r="R64" s="37">
        <f t="shared" si="21"/>
        <v>0</v>
      </c>
      <c r="S64" s="38">
        <f t="shared" si="22"/>
        <v>0</v>
      </c>
      <c r="T64" s="52"/>
      <c r="U64" s="42">
        <f>IFERROR(__xludf.DUMMYFUNCTION("""COMPUTED_VALUE"""),0.0)</f>
        <v>0</v>
      </c>
      <c r="V64" s="63"/>
      <c r="W64" s="63"/>
    </row>
    <row r="65" ht="37.5" customHeight="1">
      <c r="B65" s="25">
        <v>7.0</v>
      </c>
      <c r="C65" s="26" t="str">
        <f>IFERROR(__xludf.DUMMYFUNCTION("""COMPUTED_VALUE"""),"OGA")</f>
        <v>OGA</v>
      </c>
      <c r="D65" s="27" t="str">
        <f>IFERROR(__xludf.DUMMYFUNCTION("""COMPUTED_VALUE"""),"OP MESIN")</f>
        <v>OP MESIN</v>
      </c>
      <c r="E65" s="28"/>
      <c r="F65" s="52">
        <f>IFERROR(__xludf.DUMMYFUNCTION("""COMPUTED_VALUE"""),0.0)</f>
        <v>0</v>
      </c>
      <c r="G65" s="30">
        <v>70000.0</v>
      </c>
      <c r="H65" s="31">
        <f t="shared" si="16"/>
        <v>0</v>
      </c>
      <c r="I65" s="31">
        <f t="shared" si="17"/>
        <v>0</v>
      </c>
      <c r="J65" s="32" t="str">
        <f t="shared" si="18"/>
        <v/>
      </c>
      <c r="K65" s="32"/>
      <c r="L65" s="33">
        <f t="shared" si="19"/>
        <v>0</v>
      </c>
      <c r="M65" s="32"/>
      <c r="N65" s="32"/>
      <c r="O65" s="34">
        <f t="shared" si="20"/>
        <v>0</v>
      </c>
      <c r="P65" s="36"/>
      <c r="Q65" s="36"/>
      <c r="R65" s="37">
        <f t="shared" si="21"/>
        <v>0</v>
      </c>
      <c r="S65" s="38">
        <f t="shared" si="22"/>
        <v>0</v>
      </c>
      <c r="T65" s="52"/>
      <c r="U65" s="42">
        <f>IFERROR(__xludf.DUMMYFUNCTION("""COMPUTED_VALUE"""),0.0)</f>
        <v>0</v>
      </c>
    </row>
    <row r="66" ht="37.5" customHeight="1">
      <c r="B66" s="25">
        <v>8.0</v>
      </c>
      <c r="C66" s="26" t="str">
        <f>IFERROR(__xludf.DUMMYFUNCTION("""COMPUTED_VALUE"""),"ASEP")</f>
        <v>ASEP</v>
      </c>
      <c r="D66" s="27" t="str">
        <f>IFERROR(__xludf.DUMMYFUNCTION("""COMPUTED_VALUE"""),"OP MESIN")</f>
        <v>OP MESIN</v>
      </c>
      <c r="E66" s="28"/>
      <c r="F66" s="52">
        <f>IFERROR(__xludf.DUMMYFUNCTION("""COMPUTED_VALUE"""),0.0)</f>
        <v>0</v>
      </c>
      <c r="G66" s="30">
        <v>50000.0</v>
      </c>
      <c r="H66" s="31">
        <f t="shared" si="16"/>
        <v>0</v>
      </c>
      <c r="I66" s="31">
        <f t="shared" si="17"/>
        <v>0</v>
      </c>
      <c r="J66" s="32" t="str">
        <f t="shared" si="18"/>
        <v/>
      </c>
      <c r="K66" s="32"/>
      <c r="L66" s="33">
        <f t="shared" si="19"/>
        <v>0</v>
      </c>
      <c r="M66" s="32"/>
      <c r="N66" s="32"/>
      <c r="O66" s="34">
        <f t="shared" si="20"/>
        <v>0</v>
      </c>
      <c r="P66" s="36"/>
      <c r="Q66" s="36"/>
      <c r="R66" s="37">
        <f t="shared" si="21"/>
        <v>0</v>
      </c>
      <c r="S66" s="38">
        <f t="shared" si="22"/>
        <v>0</v>
      </c>
      <c r="T66" s="52"/>
      <c r="U66" s="42">
        <f>IFERROR(__xludf.DUMMYFUNCTION("""COMPUTED_VALUE"""),0.0)</f>
        <v>0</v>
      </c>
    </row>
    <row r="67" ht="37.5" customHeight="1">
      <c r="B67" s="25">
        <v>9.0</v>
      </c>
      <c r="C67" s="26" t="str">
        <f>IFERROR(__xludf.DUMMYFUNCTION("""COMPUTED_VALUE"""),"HIFNI")</f>
        <v>HIFNI</v>
      </c>
      <c r="D67" s="27" t="str">
        <f>IFERROR(__xludf.DUMMYFUNCTION("""COMPUTED_VALUE"""),"OP MESIN")</f>
        <v>OP MESIN</v>
      </c>
      <c r="E67" s="28"/>
      <c r="F67" s="52">
        <f>IFERROR(__xludf.DUMMYFUNCTION("""COMPUTED_VALUE"""),0.0)</f>
        <v>0</v>
      </c>
      <c r="G67" s="30">
        <v>50000.0</v>
      </c>
      <c r="H67" s="31">
        <f t="shared" si="16"/>
        <v>0</v>
      </c>
      <c r="I67" s="31">
        <f t="shared" si="17"/>
        <v>0</v>
      </c>
      <c r="J67" s="32" t="str">
        <f t="shared" si="18"/>
        <v/>
      </c>
      <c r="K67" s="32"/>
      <c r="L67" s="33">
        <f t="shared" si="19"/>
        <v>0</v>
      </c>
      <c r="M67" s="32"/>
      <c r="N67" s="32"/>
      <c r="O67" s="34">
        <f t="shared" si="20"/>
        <v>0</v>
      </c>
      <c r="P67" s="36"/>
      <c r="Q67" s="36"/>
      <c r="R67" s="37">
        <f t="shared" si="21"/>
        <v>0</v>
      </c>
      <c r="S67" s="38">
        <f t="shared" si="22"/>
        <v>0</v>
      </c>
      <c r="T67" s="52"/>
      <c r="U67" s="42">
        <f>IFERROR(__xludf.DUMMYFUNCTION("""COMPUTED_VALUE"""),0.0)</f>
        <v>0</v>
      </c>
    </row>
    <row r="68" ht="37.5" customHeight="1">
      <c r="B68" s="25">
        <v>10.0</v>
      </c>
      <c r="C68" s="49" t="str">
        <f>IFERROR(__xludf.DUMMYFUNCTION("""COMPUTED_VALUE"""),"IIS")</f>
        <v>IIS</v>
      </c>
      <c r="D68" s="27" t="str">
        <f>IFERROR(__xludf.DUMMYFUNCTION("""COMPUTED_VALUE"""),"PACKING")</f>
        <v>PACKING</v>
      </c>
      <c r="E68" s="51"/>
      <c r="F68" s="52">
        <f>IFERROR(__xludf.DUMMYFUNCTION("""COMPUTED_VALUE"""),0.0)</f>
        <v>0</v>
      </c>
      <c r="G68" s="45"/>
      <c r="H68" s="31">
        <f t="shared" si="16"/>
        <v>0</v>
      </c>
      <c r="I68" s="31">
        <f t="shared" si="17"/>
        <v>0</v>
      </c>
      <c r="J68" s="32" t="str">
        <f t="shared" si="18"/>
        <v/>
      </c>
      <c r="K68" s="32"/>
      <c r="L68" s="33">
        <f t="shared" si="19"/>
        <v>0</v>
      </c>
      <c r="M68" s="32"/>
      <c r="N68" s="32"/>
      <c r="O68" s="34">
        <f t="shared" si="20"/>
        <v>0</v>
      </c>
      <c r="P68" s="44"/>
      <c r="Q68" s="44"/>
      <c r="R68" s="37">
        <f t="shared" si="21"/>
        <v>0</v>
      </c>
      <c r="S68" s="38">
        <f t="shared" si="22"/>
        <v>0</v>
      </c>
      <c r="T68" s="52"/>
      <c r="U68" s="42">
        <f>IFERROR(__xludf.DUMMYFUNCTION("""COMPUTED_VALUE"""),0.0)</f>
        <v>0</v>
      </c>
    </row>
    <row r="69" ht="37.5" customHeight="1">
      <c r="B69" s="25">
        <v>11.0</v>
      </c>
      <c r="C69" s="49"/>
      <c r="D69" s="50"/>
      <c r="E69" s="51"/>
      <c r="F69" s="52">
        <f>IFERROR(__xludf.DUMMYFUNCTION("""COMPUTED_VALUE"""),0.0)</f>
        <v>0</v>
      </c>
      <c r="G69" s="45"/>
      <c r="H69" s="31">
        <f t="shared" si="16"/>
        <v>0</v>
      </c>
      <c r="I69" s="31">
        <f t="shared" si="17"/>
        <v>0</v>
      </c>
      <c r="J69" s="32" t="str">
        <f t="shared" si="18"/>
        <v/>
      </c>
      <c r="K69" s="32"/>
      <c r="L69" s="33">
        <f t="shared" si="19"/>
        <v>0</v>
      </c>
      <c r="M69" s="32"/>
      <c r="N69" s="32"/>
      <c r="O69" s="34">
        <f t="shared" si="20"/>
        <v>0</v>
      </c>
      <c r="P69" s="44"/>
      <c r="Q69" s="44"/>
      <c r="R69" s="37">
        <f t="shared" si="21"/>
        <v>0</v>
      </c>
      <c r="S69" s="38">
        <f t="shared" si="22"/>
        <v>0</v>
      </c>
      <c r="T69" s="52"/>
      <c r="U69" s="42">
        <f>IFERROR(__xludf.DUMMYFUNCTION("""COMPUTED_VALUE"""),0.0)</f>
        <v>0</v>
      </c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6"/>
        <v>0</v>
      </c>
      <c r="I70" s="31">
        <f t="shared" si="17"/>
        <v>0</v>
      </c>
      <c r="J70" s="32" t="str">
        <f t="shared" si="18"/>
        <v/>
      </c>
      <c r="K70" s="32"/>
      <c r="L70" s="33">
        <f t="shared" si="19"/>
        <v>0</v>
      </c>
      <c r="M70" s="32"/>
      <c r="N70" s="32"/>
      <c r="O70" s="34">
        <f t="shared" si="20"/>
        <v>0</v>
      </c>
      <c r="P70" s="44"/>
      <c r="Q70" s="44"/>
      <c r="R70" s="37">
        <f t="shared" si="21"/>
        <v>0</v>
      </c>
      <c r="S70" s="38">
        <f t="shared" si="22"/>
        <v>0</v>
      </c>
      <c r="T70" s="52"/>
      <c r="U70" s="42">
        <f>IFERROR(__xludf.DUMMYFUNCTION("""COMPUTED_VALUE"""),0.0)</f>
        <v>0</v>
      </c>
    </row>
    <row r="71" ht="37.5" customHeight="1">
      <c r="B71" s="25">
        <v>13.0</v>
      </c>
      <c r="C71" s="49"/>
      <c r="D71" s="50"/>
      <c r="E71" s="51"/>
      <c r="F71" s="52">
        <f>IFERROR(__xludf.DUMMYFUNCTION("""COMPUTED_VALUE"""),0.0)</f>
        <v>0</v>
      </c>
      <c r="G71" s="45"/>
      <c r="H71" s="31">
        <f t="shared" si="16"/>
        <v>0</v>
      </c>
      <c r="I71" s="31">
        <f t="shared" si="17"/>
        <v>0</v>
      </c>
      <c r="J71" s="32" t="str">
        <f t="shared" si="18"/>
        <v/>
      </c>
      <c r="K71" s="32"/>
      <c r="L71" s="33">
        <f t="shared" si="19"/>
        <v>0</v>
      </c>
      <c r="M71" s="32"/>
      <c r="N71" s="32"/>
      <c r="O71" s="34">
        <f t="shared" si="20"/>
        <v>0</v>
      </c>
      <c r="P71" s="44"/>
      <c r="Q71" s="44"/>
      <c r="R71" s="37">
        <f t="shared" si="21"/>
        <v>0</v>
      </c>
      <c r="S71" s="38">
        <f t="shared" si="22"/>
        <v>0</v>
      </c>
      <c r="T71" s="52"/>
      <c r="U71" s="42">
        <f>IFERROR(__xludf.DUMMYFUNCTION("""COMPUTED_VALUE"""),0.0)</f>
        <v>0</v>
      </c>
    </row>
    <row r="72" ht="37.5" customHeight="1">
      <c r="B72" s="25">
        <v>14.0</v>
      </c>
      <c r="C72" s="49"/>
      <c r="D72" s="50"/>
      <c r="E72" s="51"/>
      <c r="F72" s="52">
        <f>IFERROR(__xludf.DUMMYFUNCTION("""COMPUTED_VALUE"""),0.0)</f>
        <v>0</v>
      </c>
      <c r="G72" s="45"/>
      <c r="H72" s="31">
        <f t="shared" si="16"/>
        <v>0</v>
      </c>
      <c r="I72" s="31">
        <f t="shared" si="17"/>
        <v>0</v>
      </c>
      <c r="J72" s="32" t="str">
        <f t="shared" si="18"/>
        <v/>
      </c>
      <c r="K72" s="32"/>
      <c r="L72" s="33">
        <f t="shared" si="19"/>
        <v>0</v>
      </c>
      <c r="M72" s="32"/>
      <c r="N72" s="32"/>
      <c r="O72" s="34">
        <f t="shared" si="20"/>
        <v>0</v>
      </c>
      <c r="P72" s="44"/>
      <c r="Q72" s="44"/>
      <c r="R72" s="37">
        <f t="shared" si="21"/>
        <v>0</v>
      </c>
      <c r="S72" s="38">
        <f t="shared" si="22"/>
        <v>0</v>
      </c>
      <c r="T72" s="52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6"/>
        <v>0</v>
      </c>
      <c r="I73" s="31">
        <f t="shared" si="17"/>
        <v>0</v>
      </c>
      <c r="J73" s="32" t="str">
        <f t="shared" si="18"/>
        <v/>
      </c>
      <c r="K73" s="32"/>
      <c r="L73" s="33">
        <f t="shared" si="19"/>
        <v>0</v>
      </c>
      <c r="M73" s="32"/>
      <c r="N73" s="32"/>
      <c r="O73" s="34">
        <f t="shared" si="20"/>
        <v>0</v>
      </c>
      <c r="P73" s="44"/>
      <c r="Q73" s="44"/>
      <c r="R73" s="37">
        <f t="shared" si="21"/>
        <v>0</v>
      </c>
      <c r="S73" s="38">
        <f t="shared" si="22"/>
        <v>0</v>
      </c>
      <c r="T73" s="52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6"/>
        <v>0</v>
      </c>
      <c r="I74" s="31">
        <f t="shared" si="17"/>
        <v>0</v>
      </c>
      <c r="J74" s="32" t="str">
        <f t="shared" si="18"/>
        <v/>
      </c>
      <c r="K74" s="32"/>
      <c r="L74" s="33">
        <f t="shared" si="19"/>
        <v>0</v>
      </c>
      <c r="M74" s="32"/>
      <c r="N74" s="32"/>
      <c r="O74" s="34">
        <f t="shared" si="20"/>
        <v>0</v>
      </c>
      <c r="P74" s="44"/>
      <c r="Q74" s="44"/>
      <c r="R74" s="37">
        <f t="shared" si="21"/>
        <v>0</v>
      </c>
      <c r="S74" s="38">
        <f t="shared" si="22"/>
        <v>0</v>
      </c>
      <c r="T74" s="52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6"/>
        <v>0</v>
      </c>
      <c r="I75" s="31">
        <f t="shared" si="17"/>
        <v>0</v>
      </c>
      <c r="J75" s="32" t="str">
        <f t="shared" si="18"/>
        <v/>
      </c>
      <c r="K75" s="32"/>
      <c r="L75" s="33">
        <f t="shared" si="19"/>
        <v>0</v>
      </c>
      <c r="M75" s="32"/>
      <c r="N75" s="32"/>
      <c r="O75" s="34">
        <f t="shared" si="20"/>
        <v>0</v>
      </c>
      <c r="P75" s="44"/>
      <c r="Q75" s="44"/>
      <c r="R75" s="37">
        <f t="shared" si="21"/>
        <v>0</v>
      </c>
      <c r="S75" s="38">
        <f t="shared" si="22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6"/>
        <v>0</v>
      </c>
      <c r="I76" s="31">
        <f t="shared" si="17"/>
        <v>0</v>
      </c>
      <c r="J76" s="32" t="str">
        <f t="shared" si="18"/>
        <v/>
      </c>
      <c r="K76" s="32"/>
      <c r="L76" s="33">
        <f t="shared" si="19"/>
        <v>0</v>
      </c>
      <c r="M76" s="32"/>
      <c r="N76" s="32"/>
      <c r="O76" s="34">
        <f t="shared" si="20"/>
        <v>0</v>
      </c>
      <c r="P76" s="44"/>
      <c r="Q76" s="44"/>
      <c r="R76" s="37">
        <f t="shared" si="21"/>
        <v>0</v>
      </c>
      <c r="S76" s="38">
        <f t="shared" si="22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6"/>
        <v>0</v>
      </c>
      <c r="I77" s="31">
        <f t="shared" si="17"/>
        <v>0</v>
      </c>
      <c r="J77" s="32" t="str">
        <f t="shared" si="18"/>
        <v/>
      </c>
      <c r="K77" s="32"/>
      <c r="L77" s="33">
        <f t="shared" si="19"/>
        <v>0</v>
      </c>
      <c r="M77" s="32"/>
      <c r="N77" s="32"/>
      <c r="O77" s="34">
        <f t="shared" si="20"/>
        <v>0</v>
      </c>
      <c r="P77" s="44"/>
      <c r="Q77" s="44"/>
      <c r="R77" s="37">
        <f t="shared" si="21"/>
        <v>0</v>
      </c>
      <c r="S77" s="38">
        <f t="shared" si="22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6"/>
        <v>0</v>
      </c>
      <c r="I78" s="31">
        <f t="shared" si="17"/>
        <v>0</v>
      </c>
      <c r="J78" s="32" t="str">
        <f t="shared" si="18"/>
        <v/>
      </c>
      <c r="K78" s="32"/>
      <c r="L78" s="33">
        <f t="shared" si="19"/>
        <v>0</v>
      </c>
      <c r="M78" s="32"/>
      <c r="N78" s="32"/>
      <c r="O78" s="34">
        <f t="shared" si="20"/>
        <v>0</v>
      </c>
      <c r="P78" s="44"/>
      <c r="Q78" s="44"/>
      <c r="R78" s="37">
        <f t="shared" si="21"/>
        <v>0</v>
      </c>
      <c r="S78" s="38">
        <f t="shared" si="22"/>
        <v>0</v>
      </c>
      <c r="T78" s="51"/>
      <c r="U78" s="42"/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6"/>
        <v>0</v>
      </c>
      <c r="I79" s="31">
        <f t="shared" si="17"/>
        <v>0</v>
      </c>
      <c r="J79" s="32" t="str">
        <f t="shared" si="18"/>
        <v/>
      </c>
      <c r="K79" s="32"/>
      <c r="L79" s="33">
        <f t="shared" si="19"/>
        <v>0</v>
      </c>
      <c r="M79" s="32"/>
      <c r="N79" s="32"/>
      <c r="O79" s="34">
        <f t="shared" si="20"/>
        <v>0</v>
      </c>
      <c r="P79" s="44"/>
      <c r="Q79" s="44"/>
      <c r="R79" s="37">
        <f t="shared" si="21"/>
        <v>0</v>
      </c>
      <c r="S79" s="38">
        <f t="shared" si="22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6"/>
        <v>0</v>
      </c>
      <c r="I80" s="31">
        <f t="shared" si="17"/>
        <v>0</v>
      </c>
      <c r="J80" s="32" t="str">
        <f t="shared" si="18"/>
        <v/>
      </c>
      <c r="K80" s="32"/>
      <c r="L80" s="33">
        <f t="shared" si="19"/>
        <v>0</v>
      </c>
      <c r="M80" s="32"/>
      <c r="N80" s="32"/>
      <c r="O80" s="34">
        <f t="shared" si="20"/>
        <v>0</v>
      </c>
      <c r="P80" s="44"/>
      <c r="Q80" s="44"/>
      <c r="R80" s="37">
        <f t="shared" si="21"/>
        <v>0</v>
      </c>
      <c r="S80" s="38">
        <f t="shared" si="22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IFERROR(__xludf.DUMMYFUNCTION("IMPORTRANGE(""https://docs.google.com/spreadsheets/d/17TnzcKnlaqlAyM_3lnNpgK5CAOPbscCCRVH50X8UulY/edit?usp=sharing"",""NOVEMBER!B72"")"),"TANGGAL : 23-28 NOVEMBER 2026")</f>
        <v>TANGGAL : 23-28 NOVEMBER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IFERROR(__xludf.DUMMYFUNCTION("IMPORTRANGE(""https://docs.google.com/spreadsheets/d/17TnzcKnlaqlAyM_3lnNpgK5CAOPbscCCRVH50X8UulY/edit?usp=sharing"",""NOVEMBER!B73:D92"")"),"EPUL")</f>
        <v>EPUL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IFERROR(__xludf.DUMMYFUNCTION("IMPORTRANGE(""https://docs.google.com/spreadsheets/d/17TnzcKnlaqlAyM_3lnNpgK5CAOPbscCCRVH50X8UulY/edit?usp=sharing"",""NOVEMBER!K73:K91"")"),0.0)</f>
        <v>0</v>
      </c>
      <c r="G84" s="30">
        <v>110000.0</v>
      </c>
      <c r="H84" s="31">
        <f t="shared" ref="H84:H105" si="23">F84*G84</f>
        <v>0</v>
      </c>
      <c r="I84" s="31">
        <f t="shared" ref="I84:I105" si="24">F84*10000</f>
        <v>0</v>
      </c>
      <c r="J84" s="32" t="str">
        <f t="shared" ref="J84:J105" si="25">IF(E84="SHIFT 2",I84,"")</f>
        <v/>
      </c>
      <c r="K84" s="32"/>
      <c r="L84" s="33">
        <f t="shared" ref="L84:L105" si="26">U84*$L$83</f>
        <v>0</v>
      </c>
      <c r="M84" s="32"/>
      <c r="N84" s="32"/>
      <c r="O84" s="34">
        <f t="shared" ref="O84:O105" si="27">SUM(H84:N84)</f>
        <v>0</v>
      </c>
      <c r="P84" s="44"/>
      <c r="Q84" s="44"/>
      <c r="R84" s="37">
        <f t="shared" ref="R84:R105" si="28">SUM(P84:Q84)</f>
        <v>0</v>
      </c>
      <c r="S84" s="38">
        <f t="shared" ref="S84:S105" si="29">O84-R84</f>
        <v>0</v>
      </c>
      <c r="T84" s="39" t="str">
        <f>IFERROR(__xludf.DUMMYFUNCTION("IMPORTRANGE(""https://docs.google.com/spreadsheets/d/17TnzcKnlaqlAyM_3lnNpgK5CAOPbscCCRVH50X8UulY/edit?usp=sharing"",""NOVEMBER!L73:L91"")"),"")</f>
        <v/>
      </c>
      <c r="U84" s="42">
        <f>IFERROR(__xludf.DUMMYFUNCTION("IMPORTRANGE(""https://docs.google.com/spreadsheets/d/17TnzcKnlaqlAyM_3lnNpgK5CAOPbscCCRVH50X8UulY/edit?usp=sharing"",""NOVEMBER!U73:U91"")"),0.0)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IFERROR(__xludf.DUMMYFUNCTION("""COMPUTED_VALUE"""),0.0)</f>
        <v>0</v>
      </c>
      <c r="G85" s="30">
        <v>70000.0</v>
      </c>
      <c r="H85" s="31">
        <f t="shared" si="23"/>
        <v>0</v>
      </c>
      <c r="I85" s="31">
        <f t="shared" si="24"/>
        <v>0</v>
      </c>
      <c r="J85" s="32" t="str">
        <f t="shared" si="25"/>
        <v/>
      </c>
      <c r="K85" s="41"/>
      <c r="L85" s="33">
        <f t="shared" si="26"/>
        <v>0</v>
      </c>
      <c r="M85" s="41"/>
      <c r="N85" s="41"/>
      <c r="O85" s="34">
        <f t="shared" si="27"/>
        <v>0</v>
      </c>
      <c r="P85" s="44"/>
      <c r="Q85" s="44"/>
      <c r="R85" s="37">
        <f t="shared" si="28"/>
        <v>0</v>
      </c>
      <c r="S85" s="38">
        <f t="shared" si="29"/>
        <v>0</v>
      </c>
      <c r="T85" s="39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/>
      <c r="D86" s="27" t="str">
        <f>IFERROR(__xludf.DUMMYFUNCTION("""COMPUTED_VALUE"""),"ADMIN")</f>
        <v>ADMIN</v>
      </c>
      <c r="E86" s="28"/>
      <c r="F86" s="52">
        <f>IFERROR(__xludf.DUMMYFUNCTION("""COMPUTED_VALUE"""),0.0)</f>
        <v>0</v>
      </c>
      <c r="G86" s="30">
        <v>70000.0</v>
      </c>
      <c r="H86" s="31">
        <f t="shared" si="23"/>
        <v>0</v>
      </c>
      <c r="I86" s="31">
        <f t="shared" si="24"/>
        <v>0</v>
      </c>
      <c r="J86" s="32" t="str">
        <f t="shared" si="25"/>
        <v/>
      </c>
      <c r="K86" s="41"/>
      <c r="L86" s="33">
        <f t="shared" si="26"/>
        <v>0</v>
      </c>
      <c r="M86" s="41"/>
      <c r="N86" s="41"/>
      <c r="O86" s="34">
        <f t="shared" si="27"/>
        <v>0</v>
      </c>
      <c r="P86" s="44"/>
      <c r="Q86" s="44"/>
      <c r="R86" s="37">
        <f t="shared" si="28"/>
        <v>0</v>
      </c>
      <c r="S86" s="38">
        <f t="shared" si="29"/>
        <v>0</v>
      </c>
      <c r="T86" s="39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IFERROR(__xludf.DUMMYFUNCTION("""COMPUTED_VALUE"""),"ANDRI")</f>
        <v>ANDRI</v>
      </c>
      <c r="D87" s="27" t="str">
        <f>IFERROR(__xludf.DUMMYFUNCTION("""COMPUTED_VALUE"""),"DESIGN BORDIR")</f>
        <v>DESIGN BORDIR</v>
      </c>
      <c r="E87" s="28"/>
      <c r="F87" s="52">
        <f>IFERROR(__xludf.DUMMYFUNCTION("""COMPUTED_VALUE"""),0.0)</f>
        <v>0</v>
      </c>
      <c r="G87" s="30">
        <v>70000.0</v>
      </c>
      <c r="H87" s="31">
        <f t="shared" si="23"/>
        <v>0</v>
      </c>
      <c r="I87" s="31">
        <f t="shared" si="24"/>
        <v>0</v>
      </c>
      <c r="J87" s="32" t="str">
        <f t="shared" si="25"/>
        <v/>
      </c>
      <c r="K87" s="32"/>
      <c r="L87" s="33">
        <f t="shared" si="26"/>
        <v>0</v>
      </c>
      <c r="M87" s="32"/>
      <c r="N87" s="32"/>
      <c r="O87" s="34">
        <f t="shared" si="27"/>
        <v>0</v>
      </c>
      <c r="P87" s="44"/>
      <c r="Q87" s="44"/>
      <c r="R87" s="37">
        <f t="shared" si="28"/>
        <v>0</v>
      </c>
      <c r="S87" s="38">
        <f t="shared" si="29"/>
        <v>0</v>
      </c>
      <c r="T87" s="39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IFERROR(__xludf.DUMMYFUNCTION("""COMPUTED_VALUE"""),"ADIT")</f>
        <v>ADIT</v>
      </c>
      <c r="D88" s="27" t="str">
        <f>IFERROR(__xludf.DUMMYFUNCTION("""COMPUTED_VALUE"""),"CREATOR")</f>
        <v>CREATOR</v>
      </c>
      <c r="E88" s="28"/>
      <c r="F88" s="52">
        <f>IFERROR(__xludf.DUMMYFUNCTION("""COMPUTED_VALUE"""),0.0)</f>
        <v>0</v>
      </c>
      <c r="G88" s="30">
        <v>50000.0</v>
      </c>
      <c r="H88" s="31">
        <f t="shared" si="23"/>
        <v>0</v>
      </c>
      <c r="I88" s="31">
        <f t="shared" si="24"/>
        <v>0</v>
      </c>
      <c r="J88" s="32" t="str">
        <f t="shared" si="25"/>
        <v/>
      </c>
      <c r="K88" s="32"/>
      <c r="L88" s="33">
        <f t="shared" si="26"/>
        <v>0</v>
      </c>
      <c r="M88" s="32"/>
      <c r="N88" s="32"/>
      <c r="O88" s="34">
        <f t="shared" si="27"/>
        <v>0</v>
      </c>
      <c r="P88" s="44"/>
      <c r="Q88" s="44"/>
      <c r="R88" s="37">
        <f t="shared" si="28"/>
        <v>0</v>
      </c>
      <c r="S88" s="38">
        <f t="shared" si="29"/>
        <v>0</v>
      </c>
      <c r="T88" s="39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IFERROR(__xludf.DUMMYFUNCTION("""COMPUTED_VALUE"""),0.0)</f>
        <v>0</v>
      </c>
      <c r="G89" s="30">
        <v>70000.0</v>
      </c>
      <c r="H89" s="31">
        <f t="shared" si="23"/>
        <v>0</v>
      </c>
      <c r="I89" s="31">
        <f t="shared" si="24"/>
        <v>0</v>
      </c>
      <c r="J89" s="32" t="str">
        <f t="shared" si="25"/>
        <v/>
      </c>
      <c r="K89" s="32"/>
      <c r="L89" s="33">
        <f t="shared" si="26"/>
        <v>0</v>
      </c>
      <c r="M89" s="32"/>
      <c r="N89" s="32"/>
      <c r="O89" s="34">
        <f t="shared" si="27"/>
        <v>0</v>
      </c>
      <c r="P89" s="44"/>
      <c r="Q89" s="44"/>
      <c r="R89" s="37">
        <f t="shared" si="28"/>
        <v>0</v>
      </c>
      <c r="S89" s="38">
        <f t="shared" si="29"/>
        <v>0</v>
      </c>
      <c r="T89" s="39"/>
      <c r="U89" s="42">
        <f>IFERROR(__xludf.DUMMYFUNCTION("""COMPUTED_VALUE"""),0.0)</f>
        <v>0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IFERROR(__xludf.DUMMYFUNCTION("""COMPUTED_VALUE"""),0.0)</f>
        <v>0</v>
      </c>
      <c r="G90" s="30">
        <v>70000.0</v>
      </c>
      <c r="H90" s="31">
        <f t="shared" si="23"/>
        <v>0</v>
      </c>
      <c r="I90" s="31">
        <f t="shared" si="24"/>
        <v>0</v>
      </c>
      <c r="J90" s="32" t="str">
        <f t="shared" si="25"/>
        <v/>
      </c>
      <c r="K90" s="32"/>
      <c r="L90" s="33">
        <f t="shared" si="26"/>
        <v>0</v>
      </c>
      <c r="M90" s="32"/>
      <c r="N90" s="32"/>
      <c r="O90" s="34">
        <f t="shared" si="27"/>
        <v>0</v>
      </c>
      <c r="P90" s="44"/>
      <c r="Q90" s="44"/>
      <c r="R90" s="37">
        <f t="shared" si="28"/>
        <v>0</v>
      </c>
      <c r="S90" s="38">
        <f t="shared" si="29"/>
        <v>0</v>
      </c>
      <c r="T90" s="39"/>
      <c r="U90" s="42">
        <f>IFERROR(__xludf.DUMMYFUNCTION("""COMPUTED_VALUE"""),0.0)</f>
        <v>0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IFERROR(__xludf.DUMMYFUNCTION("""COMPUTED_VALUE"""),0.0)</f>
        <v>0</v>
      </c>
      <c r="G91" s="30">
        <v>50000.0</v>
      </c>
      <c r="H91" s="31">
        <f t="shared" si="23"/>
        <v>0</v>
      </c>
      <c r="I91" s="31">
        <f t="shared" si="24"/>
        <v>0</v>
      </c>
      <c r="J91" s="32" t="str">
        <f t="shared" si="25"/>
        <v/>
      </c>
      <c r="K91" s="32"/>
      <c r="L91" s="33">
        <f t="shared" si="26"/>
        <v>0</v>
      </c>
      <c r="M91" s="32"/>
      <c r="N91" s="32"/>
      <c r="O91" s="34">
        <f t="shared" si="27"/>
        <v>0</v>
      </c>
      <c r="P91" s="44"/>
      <c r="Q91" s="44"/>
      <c r="R91" s="37">
        <f t="shared" si="28"/>
        <v>0</v>
      </c>
      <c r="S91" s="38">
        <f t="shared" si="29"/>
        <v>0</v>
      </c>
      <c r="T91" s="39"/>
      <c r="U91" s="42">
        <f>IFERROR(__xludf.DUMMYFUNCTION("""COMPUTED_VALUE"""),0.0)</f>
        <v>0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/>
      <c r="F92" s="52">
        <f>IFERROR(__xludf.DUMMYFUNCTION("""COMPUTED_VALUE"""),0.0)</f>
        <v>0</v>
      </c>
      <c r="G92" s="30">
        <v>50000.0</v>
      </c>
      <c r="H92" s="31">
        <f t="shared" si="23"/>
        <v>0</v>
      </c>
      <c r="I92" s="31">
        <f t="shared" si="24"/>
        <v>0</v>
      </c>
      <c r="J92" s="32" t="str">
        <f t="shared" si="25"/>
        <v/>
      </c>
      <c r="K92" s="32"/>
      <c r="L92" s="33">
        <f t="shared" si="26"/>
        <v>0</v>
      </c>
      <c r="M92" s="32"/>
      <c r="N92" s="32"/>
      <c r="O92" s="34">
        <f t="shared" si="27"/>
        <v>0</v>
      </c>
      <c r="P92" s="44"/>
      <c r="Q92" s="44"/>
      <c r="R92" s="37">
        <f t="shared" si="28"/>
        <v>0</v>
      </c>
      <c r="S92" s="38">
        <f t="shared" si="29"/>
        <v>0</v>
      </c>
      <c r="T92" s="39"/>
      <c r="U92" s="42">
        <f>IFERROR(__xludf.DUMMYFUNCTION("""COMPUTED_VALUE"""),0.0)</f>
        <v>0</v>
      </c>
    </row>
    <row r="93" ht="37.5" customHeight="1">
      <c r="B93" s="25">
        <v>10.0</v>
      </c>
      <c r="C93" s="49" t="str">
        <f>IFERROR(__xludf.DUMMYFUNCTION("""COMPUTED_VALUE"""),"IIS")</f>
        <v>IIS</v>
      </c>
      <c r="D93" s="27" t="str">
        <f>IFERROR(__xludf.DUMMYFUNCTION("""COMPUTED_VALUE"""),"PACKING")</f>
        <v>PACKING</v>
      </c>
      <c r="E93" s="51"/>
      <c r="F93" s="52">
        <f>IFERROR(__xludf.DUMMYFUNCTION("""COMPUTED_VALUE"""),0.0)</f>
        <v>0</v>
      </c>
      <c r="G93" s="45"/>
      <c r="H93" s="31">
        <f t="shared" si="23"/>
        <v>0</v>
      </c>
      <c r="I93" s="31">
        <f t="shared" si="24"/>
        <v>0</v>
      </c>
      <c r="J93" s="32" t="str">
        <f t="shared" si="25"/>
        <v/>
      </c>
      <c r="K93" s="32"/>
      <c r="L93" s="33">
        <f t="shared" si="26"/>
        <v>0</v>
      </c>
      <c r="M93" s="32"/>
      <c r="N93" s="32"/>
      <c r="O93" s="34">
        <f t="shared" si="27"/>
        <v>0</v>
      </c>
      <c r="P93" s="44"/>
      <c r="Q93" s="44"/>
      <c r="R93" s="37">
        <f t="shared" si="28"/>
        <v>0</v>
      </c>
      <c r="S93" s="38">
        <f t="shared" si="29"/>
        <v>0</v>
      </c>
      <c r="T93" s="39"/>
      <c r="U93" s="42">
        <f>IFERROR(__xludf.DUMMYFUNCTION("""COMPUTED_VALUE"""),0.0)</f>
        <v>0</v>
      </c>
    </row>
    <row r="94" ht="37.5" customHeight="1">
      <c r="B94" s="25">
        <v>11.0</v>
      </c>
      <c r="C94" s="49"/>
      <c r="D94" s="50"/>
      <c r="E94" s="51"/>
      <c r="F94" s="52">
        <f>IFERROR(__xludf.DUMMYFUNCTION("""COMPUTED_VALUE"""),0.0)</f>
        <v>0</v>
      </c>
      <c r="G94" s="45"/>
      <c r="H94" s="31">
        <f t="shared" si="23"/>
        <v>0</v>
      </c>
      <c r="I94" s="31">
        <f t="shared" si="24"/>
        <v>0</v>
      </c>
      <c r="J94" s="32" t="str">
        <f t="shared" si="25"/>
        <v/>
      </c>
      <c r="K94" s="32"/>
      <c r="L94" s="33">
        <f t="shared" si="26"/>
        <v>0</v>
      </c>
      <c r="M94" s="32"/>
      <c r="N94" s="32"/>
      <c r="O94" s="34">
        <f t="shared" si="27"/>
        <v>0</v>
      </c>
      <c r="P94" s="44"/>
      <c r="Q94" s="44"/>
      <c r="R94" s="37">
        <f t="shared" si="28"/>
        <v>0</v>
      </c>
      <c r="S94" s="38">
        <f t="shared" si="29"/>
        <v>0</v>
      </c>
      <c r="T94" s="39"/>
      <c r="U94" s="42">
        <f>IFERROR(__xludf.DUMMYFUNCTION("""COMPUTED_VALUE"""),0.0)</f>
        <v>0</v>
      </c>
    </row>
    <row r="95" ht="37.5" customHeight="1">
      <c r="B95" s="25">
        <v>12.0</v>
      </c>
      <c r="C95" s="49"/>
      <c r="D95" s="50"/>
      <c r="E95" s="51"/>
      <c r="F95" s="52">
        <f>IFERROR(__xludf.DUMMYFUNCTION("""COMPUTED_VALUE"""),0.0)</f>
        <v>0</v>
      </c>
      <c r="G95" s="45"/>
      <c r="H95" s="31">
        <f t="shared" si="23"/>
        <v>0</v>
      </c>
      <c r="I95" s="31">
        <f t="shared" si="24"/>
        <v>0</v>
      </c>
      <c r="J95" s="32" t="str">
        <f t="shared" si="25"/>
        <v/>
      </c>
      <c r="K95" s="32"/>
      <c r="L95" s="33">
        <f t="shared" si="26"/>
        <v>0</v>
      </c>
      <c r="M95" s="32"/>
      <c r="N95" s="32"/>
      <c r="O95" s="34">
        <f t="shared" si="27"/>
        <v>0</v>
      </c>
      <c r="P95" s="44"/>
      <c r="Q95" s="44"/>
      <c r="R95" s="37">
        <f t="shared" si="28"/>
        <v>0</v>
      </c>
      <c r="S95" s="38">
        <f t="shared" si="29"/>
        <v>0</v>
      </c>
      <c r="T95" s="39"/>
      <c r="U95" s="42">
        <f>IFERROR(__xludf.DUMMYFUNCTION("""COMPUTED_VALUE"""),0.0)</f>
        <v>0</v>
      </c>
    </row>
    <row r="96" ht="37.5" customHeight="1">
      <c r="B96" s="25">
        <v>13.0</v>
      </c>
      <c r="C96" s="49"/>
      <c r="D96" s="50"/>
      <c r="E96" s="51"/>
      <c r="F96" s="52">
        <f>IFERROR(__xludf.DUMMYFUNCTION("""COMPUTED_VALUE"""),0.0)</f>
        <v>0</v>
      </c>
      <c r="G96" s="45"/>
      <c r="H96" s="31">
        <f t="shared" si="23"/>
        <v>0</v>
      </c>
      <c r="I96" s="31">
        <f t="shared" si="24"/>
        <v>0</v>
      </c>
      <c r="J96" s="32" t="str">
        <f t="shared" si="25"/>
        <v/>
      </c>
      <c r="K96" s="32"/>
      <c r="L96" s="33">
        <f t="shared" si="26"/>
        <v>0</v>
      </c>
      <c r="M96" s="32"/>
      <c r="N96" s="32"/>
      <c r="O96" s="34">
        <f t="shared" si="27"/>
        <v>0</v>
      </c>
      <c r="P96" s="44"/>
      <c r="Q96" s="44"/>
      <c r="R96" s="37">
        <f t="shared" si="28"/>
        <v>0</v>
      </c>
      <c r="S96" s="38">
        <f t="shared" si="29"/>
        <v>0</v>
      </c>
      <c r="T96" s="39"/>
      <c r="U96" s="42">
        <f>IFERROR(__xludf.DUMMYFUNCTION("""COMPUTED_VALUE"""),0.0)</f>
        <v>0</v>
      </c>
    </row>
    <row r="97" ht="37.5" customHeight="1">
      <c r="B97" s="25">
        <v>14.0</v>
      </c>
      <c r="C97" s="49"/>
      <c r="D97" s="50"/>
      <c r="E97" s="51"/>
      <c r="F97" s="52">
        <f>IFERROR(__xludf.DUMMYFUNCTION("""COMPUTED_VALUE"""),0.0)</f>
        <v>0</v>
      </c>
      <c r="G97" s="45"/>
      <c r="H97" s="31">
        <f t="shared" si="23"/>
        <v>0</v>
      </c>
      <c r="I97" s="31">
        <f t="shared" si="24"/>
        <v>0</v>
      </c>
      <c r="J97" s="32" t="str">
        <f t="shared" si="25"/>
        <v/>
      </c>
      <c r="K97" s="32"/>
      <c r="L97" s="33">
        <f t="shared" si="26"/>
        <v>0</v>
      </c>
      <c r="M97" s="32"/>
      <c r="N97" s="32"/>
      <c r="O97" s="34">
        <f t="shared" si="27"/>
        <v>0</v>
      </c>
      <c r="P97" s="44"/>
      <c r="Q97" s="44"/>
      <c r="R97" s="37">
        <f t="shared" si="28"/>
        <v>0</v>
      </c>
      <c r="S97" s="38">
        <f t="shared" si="29"/>
        <v>0</v>
      </c>
      <c r="T97" s="39"/>
      <c r="U97" s="42">
        <f>IFERROR(__xludf.DUMMYFUNCTION("""COMPUTED_VALUE"""),0.0)</f>
        <v>0</v>
      </c>
    </row>
    <row r="98" ht="37.5" customHeight="1">
      <c r="B98" s="25">
        <v>15.0</v>
      </c>
      <c r="C98" s="49"/>
      <c r="D98" s="50"/>
      <c r="E98" s="51"/>
      <c r="F98" s="52">
        <f>IFERROR(__xludf.DUMMYFUNCTION("""COMPUTED_VALUE"""),0.0)</f>
        <v>0</v>
      </c>
      <c r="G98" s="45"/>
      <c r="H98" s="31">
        <f t="shared" si="23"/>
        <v>0</v>
      </c>
      <c r="I98" s="31">
        <f t="shared" si="24"/>
        <v>0</v>
      </c>
      <c r="J98" s="32" t="str">
        <f t="shared" si="25"/>
        <v/>
      </c>
      <c r="K98" s="32"/>
      <c r="L98" s="33">
        <f t="shared" si="26"/>
        <v>0</v>
      </c>
      <c r="M98" s="32"/>
      <c r="N98" s="32"/>
      <c r="O98" s="34">
        <f t="shared" si="27"/>
        <v>0</v>
      </c>
      <c r="P98" s="44"/>
      <c r="Q98" s="44"/>
      <c r="R98" s="37">
        <f t="shared" si="28"/>
        <v>0</v>
      </c>
      <c r="S98" s="38">
        <f t="shared" si="29"/>
        <v>0</v>
      </c>
      <c r="T98" s="39"/>
      <c r="U98" s="42">
        <f>IFERROR(__xludf.DUMMYFUNCTION("""COMPUTED_VALUE"""),0.0)</f>
        <v>0</v>
      </c>
    </row>
    <row r="99" ht="37.5" customHeight="1">
      <c r="B99" s="25">
        <v>16.0</v>
      </c>
      <c r="C99" s="49"/>
      <c r="D99" s="50"/>
      <c r="E99" s="51"/>
      <c r="F99" s="52">
        <f>IFERROR(__xludf.DUMMYFUNCTION("""COMPUTED_VALUE"""),0.0)</f>
        <v>0</v>
      </c>
      <c r="G99" s="45"/>
      <c r="H99" s="31">
        <f t="shared" si="23"/>
        <v>0</v>
      </c>
      <c r="I99" s="31">
        <f t="shared" si="24"/>
        <v>0</v>
      </c>
      <c r="J99" s="32" t="str">
        <f t="shared" si="25"/>
        <v/>
      </c>
      <c r="K99" s="32"/>
      <c r="L99" s="33">
        <f t="shared" si="26"/>
        <v>0</v>
      </c>
      <c r="M99" s="32"/>
      <c r="N99" s="32"/>
      <c r="O99" s="34">
        <f t="shared" si="27"/>
        <v>0</v>
      </c>
      <c r="P99" s="44"/>
      <c r="Q99" s="44"/>
      <c r="R99" s="37">
        <f t="shared" si="28"/>
        <v>0</v>
      </c>
      <c r="S99" s="38">
        <f t="shared" si="29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3"/>
        <v>0</v>
      </c>
      <c r="I100" s="31">
        <f t="shared" si="24"/>
        <v>0</v>
      </c>
      <c r="J100" s="32" t="str">
        <f t="shared" si="25"/>
        <v/>
      </c>
      <c r="K100" s="32"/>
      <c r="L100" s="33">
        <f t="shared" si="26"/>
        <v>0</v>
      </c>
      <c r="M100" s="32"/>
      <c r="N100" s="32"/>
      <c r="O100" s="34">
        <f t="shared" si="27"/>
        <v>0</v>
      </c>
      <c r="P100" s="44"/>
      <c r="Q100" s="44"/>
      <c r="R100" s="37">
        <f t="shared" si="28"/>
        <v>0</v>
      </c>
      <c r="S100" s="38">
        <f t="shared" si="29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3"/>
        <v>0</v>
      </c>
      <c r="I101" s="31">
        <f t="shared" si="24"/>
        <v>0</v>
      </c>
      <c r="J101" s="32" t="str">
        <f t="shared" si="25"/>
        <v/>
      </c>
      <c r="K101" s="32"/>
      <c r="L101" s="33">
        <f t="shared" si="26"/>
        <v>0</v>
      </c>
      <c r="M101" s="32"/>
      <c r="N101" s="32"/>
      <c r="O101" s="34">
        <f t="shared" si="27"/>
        <v>0</v>
      </c>
      <c r="P101" s="44"/>
      <c r="Q101" s="44"/>
      <c r="R101" s="37">
        <f t="shared" si="28"/>
        <v>0</v>
      </c>
      <c r="S101" s="38">
        <f t="shared" si="29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3"/>
        <v>0</v>
      </c>
      <c r="I102" s="31">
        <f t="shared" si="24"/>
        <v>0</v>
      </c>
      <c r="J102" s="32" t="str">
        <f t="shared" si="25"/>
        <v/>
      </c>
      <c r="K102" s="32"/>
      <c r="L102" s="33">
        <f t="shared" si="26"/>
        <v>0</v>
      </c>
      <c r="M102" s="32"/>
      <c r="N102" s="32"/>
      <c r="O102" s="34">
        <f t="shared" si="27"/>
        <v>0</v>
      </c>
      <c r="P102" s="44"/>
      <c r="Q102" s="44"/>
      <c r="R102" s="37">
        <f t="shared" si="28"/>
        <v>0</v>
      </c>
      <c r="S102" s="38">
        <f t="shared" si="29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3"/>
        <v>0</v>
      </c>
      <c r="I103" s="31">
        <f t="shared" si="24"/>
        <v>0</v>
      </c>
      <c r="J103" s="32" t="str">
        <f t="shared" si="25"/>
        <v/>
      </c>
      <c r="K103" s="32"/>
      <c r="L103" s="33">
        <f t="shared" si="26"/>
        <v>0</v>
      </c>
      <c r="M103" s="32"/>
      <c r="N103" s="32"/>
      <c r="O103" s="34">
        <f t="shared" si="27"/>
        <v>0</v>
      </c>
      <c r="P103" s="44"/>
      <c r="Q103" s="44"/>
      <c r="R103" s="37">
        <f t="shared" si="28"/>
        <v>0</v>
      </c>
      <c r="S103" s="38">
        <f t="shared" si="29"/>
        <v>0</v>
      </c>
      <c r="T103" s="51"/>
      <c r="U103" s="42"/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3"/>
        <v>0</v>
      </c>
      <c r="I104" s="31">
        <f t="shared" si="24"/>
        <v>0</v>
      </c>
      <c r="J104" s="32" t="str">
        <f t="shared" si="25"/>
        <v/>
      </c>
      <c r="K104" s="32"/>
      <c r="L104" s="33">
        <f t="shared" si="26"/>
        <v>0</v>
      </c>
      <c r="M104" s="32"/>
      <c r="N104" s="32"/>
      <c r="O104" s="34">
        <f t="shared" si="27"/>
        <v>0</v>
      </c>
      <c r="P104" s="44"/>
      <c r="Q104" s="44"/>
      <c r="R104" s="37">
        <f t="shared" si="28"/>
        <v>0</v>
      </c>
      <c r="S104" s="38">
        <f t="shared" si="29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3"/>
        <v>0</v>
      </c>
      <c r="I105" s="31">
        <f t="shared" si="24"/>
        <v>0</v>
      </c>
      <c r="J105" s="32" t="str">
        <f t="shared" si="25"/>
        <v/>
      </c>
      <c r="K105" s="32"/>
      <c r="L105" s="33">
        <f t="shared" si="26"/>
        <v>0</v>
      </c>
      <c r="M105" s="32"/>
      <c r="N105" s="32"/>
      <c r="O105" s="34">
        <f t="shared" si="27"/>
        <v>0</v>
      </c>
      <c r="P105" s="44"/>
      <c r="Q105" s="44"/>
      <c r="R105" s="37">
        <f t="shared" si="28"/>
        <v>0</v>
      </c>
      <c r="S105" s="38">
        <f t="shared" si="29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0</v>
      </c>
      <c r="T106" s="57"/>
      <c r="U106" s="58"/>
    </row>
    <row r="107" ht="37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IFERROR(__xludf.DUMMYFUNCTION("IMPORTRANGE(""https://docs.google.com/spreadsheets/d/17TnzcKnlaqlAyM_3lnNpgK5CAOPbscCCRVH50X8UulY/edit?usp=sharing"",""NOVEMBER!B94"")"),"TANGGAL : 30 NOVEMBER 2026")</f>
        <v>TANGGAL : 30 NOVEMBER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IFERROR(__xludf.DUMMYFUNCTION("IMPORTRANGE(""https://docs.google.com/spreadsheets/d/17TnzcKnlaqlAyM_3lnNpgK5CAOPbscCCRVH50X8UulY/edit?usp=sharing"",""NOVEMBER!B95:D113"")"),"EPUL")</f>
        <v>EPUL</v>
      </c>
      <c r="D109" s="27" t="str">
        <f>IFERROR(__xludf.DUMMYFUNCTION("""COMPUTED_VALUE"""),"KEPALA")</f>
        <v>KEPALA</v>
      </c>
      <c r="E109" s="28"/>
      <c r="F109" s="52">
        <f>IFERROR(__xludf.DUMMYFUNCTION("IMPORTRANGE(""https://docs.google.com/spreadsheets/d/17TnzcKnlaqlAyM_3lnNpgK5CAOPbscCCRVH50X8UulY/edit?usp=sharing"",""NOVEMBER!K95:K113"")"),0.0)</f>
        <v>0</v>
      </c>
      <c r="G109" s="30">
        <v>110000.0</v>
      </c>
      <c r="H109" s="31">
        <f t="shared" ref="H109:H130" si="30">F109*G109</f>
        <v>0</v>
      </c>
      <c r="I109" s="31">
        <f t="shared" ref="I109:I130" si="31">F109*10000</f>
        <v>0</v>
      </c>
      <c r="J109" s="32" t="str">
        <f t="shared" ref="J109:J130" si="32">IF(E109="SHIFT 2",I109,"")</f>
        <v/>
      </c>
      <c r="K109" s="32"/>
      <c r="L109" s="33">
        <f t="shared" ref="L109:L130" si="33">U109*$L$108</f>
        <v>0</v>
      </c>
      <c r="M109" s="32"/>
      <c r="N109" s="32"/>
      <c r="O109" s="34">
        <f t="shared" ref="O109:O130" si="34">SUM(H109:N109)</f>
        <v>0</v>
      </c>
      <c r="P109" s="36"/>
      <c r="Q109" s="36"/>
      <c r="R109" s="37">
        <f t="shared" ref="R109:R130" si="35">SUM(P109:Q109)</f>
        <v>0</v>
      </c>
      <c r="S109" s="38">
        <f t="shared" ref="S109:S130" si="36">O109-R109</f>
        <v>0</v>
      </c>
      <c r="T109" s="52" t="str">
        <f>IFERROR(__xludf.DUMMYFUNCTION("IMPORTRANGE(""https://docs.google.com/spreadsheets/d/17TnzcKnlaqlAyM_3lnNpgK5CAOPbscCCRVH50X8UulY/edit?usp=sharing"",""NOVEMBER!L95:L113"")"),"")</f>
        <v/>
      </c>
      <c r="U109" s="42">
        <f>IFERROR(__xludf.DUMMYFUNCTION("IMPORTRANGE(""https://docs.google.com/spreadsheets/d/17TnzcKnlaqlAyM_3lnNpgK5CAOPbscCCRVH50X8UulY/edit?usp=sharing"",""NOVEMBER!U95:U113"")"),0.0)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/>
      <c r="F110" s="52">
        <f>IFERROR(__xludf.DUMMYFUNCTION("""COMPUTED_VALUE"""),0.0)</f>
        <v>0</v>
      </c>
      <c r="G110" s="30">
        <v>70000.0</v>
      </c>
      <c r="H110" s="31">
        <f t="shared" si="30"/>
        <v>0</v>
      </c>
      <c r="I110" s="31">
        <f t="shared" si="31"/>
        <v>0</v>
      </c>
      <c r="J110" s="32" t="str">
        <f t="shared" si="32"/>
        <v/>
      </c>
      <c r="K110" s="41"/>
      <c r="L110" s="33">
        <f t="shared" si="33"/>
        <v>0</v>
      </c>
      <c r="M110" s="41"/>
      <c r="N110" s="41"/>
      <c r="O110" s="34">
        <f t="shared" si="34"/>
        <v>0</v>
      </c>
      <c r="P110" s="36"/>
      <c r="Q110" s="36"/>
      <c r="R110" s="37">
        <f t="shared" si="35"/>
        <v>0</v>
      </c>
      <c r="S110" s="38">
        <f t="shared" si="36"/>
        <v>0</v>
      </c>
      <c r="T110" s="52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/>
      <c r="D111" s="27" t="str">
        <f>IFERROR(__xludf.DUMMYFUNCTION("""COMPUTED_VALUE"""),"ADMIN")</f>
        <v>ADMIN</v>
      </c>
      <c r="E111" s="28"/>
      <c r="F111" s="52">
        <f>IFERROR(__xludf.DUMMYFUNCTION("""COMPUTED_VALUE"""),0.0)</f>
        <v>0</v>
      </c>
      <c r="G111" s="30">
        <v>70000.0</v>
      </c>
      <c r="H111" s="31">
        <f t="shared" si="30"/>
        <v>0</v>
      </c>
      <c r="I111" s="31">
        <f t="shared" si="31"/>
        <v>0</v>
      </c>
      <c r="J111" s="32" t="str">
        <f t="shared" si="32"/>
        <v/>
      </c>
      <c r="K111" s="41"/>
      <c r="L111" s="33">
        <f t="shared" si="33"/>
        <v>0</v>
      </c>
      <c r="M111" s="41"/>
      <c r="N111" s="41"/>
      <c r="O111" s="34">
        <f t="shared" si="34"/>
        <v>0</v>
      </c>
      <c r="P111" s="36"/>
      <c r="Q111" s="36"/>
      <c r="R111" s="37">
        <f t="shared" si="35"/>
        <v>0</v>
      </c>
      <c r="S111" s="38">
        <f t="shared" si="36"/>
        <v>0</v>
      </c>
      <c r="T111" s="52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IFERROR(__xludf.DUMMYFUNCTION("""COMPUTED_VALUE"""),"ANDRI")</f>
        <v>ANDRI</v>
      </c>
      <c r="D112" s="27" t="str">
        <f>IFERROR(__xludf.DUMMYFUNCTION("""COMPUTED_VALUE"""),"DESIGN BORDIR")</f>
        <v>DESIGN BORDIR</v>
      </c>
      <c r="E112" s="28"/>
      <c r="F112" s="52">
        <f>IFERROR(__xludf.DUMMYFUNCTION("""COMPUTED_VALUE"""),0.0)</f>
        <v>0</v>
      </c>
      <c r="G112" s="30">
        <v>70000.0</v>
      </c>
      <c r="H112" s="31">
        <f t="shared" si="30"/>
        <v>0</v>
      </c>
      <c r="I112" s="31">
        <f t="shared" si="31"/>
        <v>0</v>
      </c>
      <c r="J112" s="32" t="str">
        <f t="shared" si="32"/>
        <v/>
      </c>
      <c r="K112" s="32"/>
      <c r="L112" s="33">
        <f t="shared" si="33"/>
        <v>0</v>
      </c>
      <c r="M112" s="32"/>
      <c r="N112" s="32"/>
      <c r="O112" s="34">
        <f t="shared" si="34"/>
        <v>0</v>
      </c>
      <c r="P112" s="36"/>
      <c r="Q112" s="36"/>
      <c r="R112" s="37">
        <f t="shared" si="35"/>
        <v>0</v>
      </c>
      <c r="S112" s="38">
        <f t="shared" si="36"/>
        <v>0</v>
      </c>
      <c r="T112" s="52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IFERROR(__xludf.DUMMYFUNCTION("""COMPUTED_VALUE"""),"ADIT")</f>
        <v>ADIT</v>
      </c>
      <c r="D113" s="27" t="str">
        <f>IFERROR(__xludf.DUMMYFUNCTION("""COMPUTED_VALUE"""),"CREATOR")</f>
        <v>CREATOR</v>
      </c>
      <c r="E113" s="28"/>
      <c r="F113" s="52">
        <f>IFERROR(__xludf.DUMMYFUNCTION("""COMPUTED_VALUE"""),0.0)</f>
        <v>0</v>
      </c>
      <c r="G113" s="30">
        <v>50000.0</v>
      </c>
      <c r="H113" s="31">
        <f t="shared" si="30"/>
        <v>0</v>
      </c>
      <c r="I113" s="31">
        <f t="shared" si="31"/>
        <v>0</v>
      </c>
      <c r="J113" s="32" t="str">
        <f t="shared" si="32"/>
        <v/>
      </c>
      <c r="K113" s="32"/>
      <c r="L113" s="33">
        <f t="shared" si="33"/>
        <v>0</v>
      </c>
      <c r="M113" s="32"/>
      <c r="N113" s="32"/>
      <c r="O113" s="34">
        <f t="shared" si="34"/>
        <v>0</v>
      </c>
      <c r="P113" s="35"/>
      <c r="Q113" s="36"/>
      <c r="R113" s="37">
        <f t="shared" si="35"/>
        <v>0</v>
      </c>
      <c r="S113" s="38">
        <f t="shared" si="36"/>
        <v>0</v>
      </c>
      <c r="T113" s="52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/>
      <c r="F114" s="52">
        <f>IFERROR(__xludf.DUMMYFUNCTION("""COMPUTED_VALUE"""),0.0)</f>
        <v>0</v>
      </c>
      <c r="G114" s="30">
        <v>70000.0</v>
      </c>
      <c r="H114" s="31">
        <f t="shared" si="30"/>
        <v>0</v>
      </c>
      <c r="I114" s="31">
        <f t="shared" si="31"/>
        <v>0</v>
      </c>
      <c r="J114" s="32" t="str">
        <f t="shared" si="32"/>
        <v/>
      </c>
      <c r="K114" s="32"/>
      <c r="L114" s="33">
        <f t="shared" si="33"/>
        <v>0</v>
      </c>
      <c r="M114" s="32"/>
      <c r="N114" s="32"/>
      <c r="O114" s="34">
        <f t="shared" si="34"/>
        <v>0</v>
      </c>
      <c r="P114" s="36"/>
      <c r="Q114" s="36"/>
      <c r="R114" s="37">
        <f t="shared" si="35"/>
        <v>0</v>
      </c>
      <c r="S114" s="38">
        <f t="shared" si="36"/>
        <v>0</v>
      </c>
      <c r="T114" s="52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/>
      <c r="F115" s="52">
        <f>IFERROR(__xludf.DUMMYFUNCTION("""COMPUTED_VALUE"""),0.0)</f>
        <v>0</v>
      </c>
      <c r="G115" s="30">
        <v>70000.0</v>
      </c>
      <c r="H115" s="31">
        <f t="shared" si="30"/>
        <v>0</v>
      </c>
      <c r="I115" s="31">
        <f t="shared" si="31"/>
        <v>0</v>
      </c>
      <c r="J115" s="32" t="str">
        <f t="shared" si="32"/>
        <v/>
      </c>
      <c r="K115" s="32"/>
      <c r="L115" s="33">
        <f t="shared" si="33"/>
        <v>0</v>
      </c>
      <c r="M115" s="32"/>
      <c r="N115" s="32"/>
      <c r="O115" s="34">
        <f t="shared" si="34"/>
        <v>0</v>
      </c>
      <c r="P115" s="36"/>
      <c r="Q115" s="36"/>
      <c r="R115" s="37">
        <f t="shared" si="35"/>
        <v>0</v>
      </c>
      <c r="S115" s="38">
        <f t="shared" si="36"/>
        <v>0</v>
      </c>
      <c r="T115" s="52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/>
      <c r="F116" s="52">
        <f>IFERROR(__xludf.DUMMYFUNCTION("""COMPUTED_VALUE"""),0.0)</f>
        <v>0</v>
      </c>
      <c r="G116" s="30">
        <v>50000.0</v>
      </c>
      <c r="H116" s="31">
        <f t="shared" si="30"/>
        <v>0</v>
      </c>
      <c r="I116" s="31">
        <f t="shared" si="31"/>
        <v>0</v>
      </c>
      <c r="J116" s="32" t="str">
        <f t="shared" si="32"/>
        <v/>
      </c>
      <c r="K116" s="32"/>
      <c r="L116" s="33">
        <f t="shared" si="33"/>
        <v>0</v>
      </c>
      <c r="M116" s="32"/>
      <c r="N116" s="32"/>
      <c r="O116" s="34">
        <f t="shared" si="34"/>
        <v>0</v>
      </c>
      <c r="P116" s="36"/>
      <c r="Q116" s="36"/>
      <c r="R116" s="37">
        <f t="shared" si="35"/>
        <v>0</v>
      </c>
      <c r="S116" s="38">
        <f t="shared" si="36"/>
        <v>0</v>
      </c>
      <c r="T116" s="52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/>
      <c r="F117" s="52">
        <f>IFERROR(__xludf.DUMMYFUNCTION("""COMPUTED_VALUE"""),0.0)</f>
        <v>0</v>
      </c>
      <c r="G117" s="30">
        <v>50000.0</v>
      </c>
      <c r="H117" s="31">
        <f t="shared" si="30"/>
        <v>0</v>
      </c>
      <c r="I117" s="31">
        <f t="shared" si="31"/>
        <v>0</v>
      </c>
      <c r="J117" s="32" t="str">
        <f t="shared" si="32"/>
        <v/>
      </c>
      <c r="K117" s="32"/>
      <c r="L117" s="33">
        <f t="shared" si="33"/>
        <v>0</v>
      </c>
      <c r="M117" s="32"/>
      <c r="N117" s="32"/>
      <c r="O117" s="34">
        <f t="shared" si="34"/>
        <v>0</v>
      </c>
      <c r="P117" s="36"/>
      <c r="Q117" s="36"/>
      <c r="R117" s="37">
        <f t="shared" si="35"/>
        <v>0</v>
      </c>
      <c r="S117" s="38">
        <f t="shared" si="36"/>
        <v>0</v>
      </c>
      <c r="T117" s="52"/>
      <c r="U117" s="42">
        <f>IFERROR(__xludf.DUMMYFUNCTION("""COMPUTED_VALUE"""),0.0)</f>
        <v>0</v>
      </c>
    </row>
    <row r="118" ht="37.5" customHeight="1">
      <c r="B118" s="25">
        <v>10.0</v>
      </c>
      <c r="C118" s="49" t="str">
        <f>IFERROR(__xludf.DUMMYFUNCTION("""COMPUTED_VALUE"""),"IIS")</f>
        <v>IIS</v>
      </c>
      <c r="D118" s="27" t="str">
        <f>IFERROR(__xludf.DUMMYFUNCTION("""COMPUTED_VALUE"""),"PACKING")</f>
        <v>PACKING</v>
      </c>
      <c r="E118" s="51"/>
      <c r="F118" s="52">
        <f>IFERROR(__xludf.DUMMYFUNCTION("""COMPUTED_VALUE"""),0.0)</f>
        <v>0</v>
      </c>
      <c r="G118" s="45"/>
      <c r="H118" s="31">
        <f t="shared" si="30"/>
        <v>0</v>
      </c>
      <c r="I118" s="31">
        <f t="shared" si="31"/>
        <v>0</v>
      </c>
      <c r="J118" s="32" t="str">
        <f t="shared" si="32"/>
        <v/>
      </c>
      <c r="K118" s="32"/>
      <c r="L118" s="33">
        <f t="shared" si="33"/>
        <v>0</v>
      </c>
      <c r="M118" s="32"/>
      <c r="N118" s="32"/>
      <c r="O118" s="34">
        <f t="shared" si="34"/>
        <v>0</v>
      </c>
      <c r="P118" s="36"/>
      <c r="Q118" s="36"/>
      <c r="R118" s="37">
        <f t="shared" si="35"/>
        <v>0</v>
      </c>
      <c r="S118" s="38">
        <f t="shared" si="36"/>
        <v>0</v>
      </c>
      <c r="T118" s="52"/>
      <c r="U118" s="42">
        <f>IFERROR(__xludf.DUMMYFUNCTION("""COMPUTED_VALUE"""),0.0)</f>
        <v>0</v>
      </c>
    </row>
    <row r="119" ht="37.5" customHeight="1">
      <c r="B119" s="25">
        <v>11.0</v>
      </c>
      <c r="C119" s="49"/>
      <c r="D119" s="50"/>
      <c r="E119" s="51"/>
      <c r="F119" s="52">
        <f>IFERROR(__xludf.DUMMYFUNCTION("""COMPUTED_VALUE"""),0.0)</f>
        <v>0</v>
      </c>
      <c r="G119" s="45"/>
      <c r="H119" s="31">
        <f t="shared" si="30"/>
        <v>0</v>
      </c>
      <c r="I119" s="31">
        <f t="shared" si="31"/>
        <v>0</v>
      </c>
      <c r="J119" s="32" t="str">
        <f t="shared" si="32"/>
        <v/>
      </c>
      <c r="K119" s="32"/>
      <c r="L119" s="33">
        <f t="shared" si="33"/>
        <v>0</v>
      </c>
      <c r="M119" s="32"/>
      <c r="N119" s="32"/>
      <c r="O119" s="34">
        <f t="shared" si="34"/>
        <v>0</v>
      </c>
      <c r="P119" s="36"/>
      <c r="Q119" s="36"/>
      <c r="R119" s="37">
        <f t="shared" si="35"/>
        <v>0</v>
      </c>
      <c r="S119" s="38">
        <f t="shared" si="36"/>
        <v>0</v>
      </c>
      <c r="T119" s="52"/>
      <c r="U119" s="42">
        <f>IFERROR(__xludf.DUMMYFUNCTION("""COMPUTED_VALUE"""),0.0)</f>
        <v>0</v>
      </c>
    </row>
    <row r="120" ht="37.5" customHeight="1">
      <c r="B120" s="25">
        <v>12.0</v>
      </c>
      <c r="C120" s="49"/>
      <c r="D120" s="50"/>
      <c r="E120" s="51"/>
      <c r="F120" s="52">
        <f>IFERROR(__xludf.DUMMYFUNCTION("""COMPUTED_VALUE"""),0.0)</f>
        <v>0</v>
      </c>
      <c r="G120" s="45"/>
      <c r="H120" s="31">
        <f t="shared" si="30"/>
        <v>0</v>
      </c>
      <c r="I120" s="31">
        <f t="shared" si="31"/>
        <v>0</v>
      </c>
      <c r="J120" s="32" t="str">
        <f t="shared" si="32"/>
        <v/>
      </c>
      <c r="K120" s="32"/>
      <c r="L120" s="33">
        <f t="shared" si="33"/>
        <v>0</v>
      </c>
      <c r="M120" s="32"/>
      <c r="N120" s="32"/>
      <c r="O120" s="34">
        <f t="shared" si="34"/>
        <v>0</v>
      </c>
      <c r="P120" s="44"/>
      <c r="Q120" s="44"/>
      <c r="R120" s="37">
        <f t="shared" si="35"/>
        <v>0</v>
      </c>
      <c r="S120" s="38">
        <f t="shared" si="36"/>
        <v>0</v>
      </c>
      <c r="T120" s="39"/>
      <c r="U120" s="42">
        <f>IFERROR(__xludf.DUMMYFUNCTION("""COMPUTED_VALUE"""),0.0)</f>
        <v>0</v>
      </c>
    </row>
    <row r="121" ht="37.5" customHeight="1">
      <c r="B121" s="25">
        <v>13.0</v>
      </c>
      <c r="C121" s="49"/>
      <c r="D121" s="50"/>
      <c r="E121" s="51"/>
      <c r="F121" s="52">
        <f>IFERROR(__xludf.DUMMYFUNCTION("""COMPUTED_VALUE"""),0.0)</f>
        <v>0</v>
      </c>
      <c r="G121" s="45"/>
      <c r="H121" s="31">
        <f t="shared" si="30"/>
        <v>0</v>
      </c>
      <c r="I121" s="31">
        <f t="shared" si="31"/>
        <v>0</v>
      </c>
      <c r="J121" s="32" t="str">
        <f t="shared" si="32"/>
        <v/>
      </c>
      <c r="K121" s="32"/>
      <c r="L121" s="33">
        <f t="shared" si="33"/>
        <v>0</v>
      </c>
      <c r="M121" s="32"/>
      <c r="N121" s="32"/>
      <c r="O121" s="34">
        <f t="shared" si="34"/>
        <v>0</v>
      </c>
      <c r="P121" s="44"/>
      <c r="Q121" s="44"/>
      <c r="R121" s="37">
        <f t="shared" si="35"/>
        <v>0</v>
      </c>
      <c r="S121" s="38">
        <f t="shared" si="36"/>
        <v>0</v>
      </c>
      <c r="T121" s="39"/>
      <c r="U121" s="42">
        <f>IFERROR(__xludf.DUMMYFUNCTION("""COMPUTED_VALUE"""),0.0)</f>
        <v>0</v>
      </c>
    </row>
    <row r="122" ht="37.5" customHeight="1">
      <c r="B122" s="25">
        <v>14.0</v>
      </c>
      <c r="C122" s="49"/>
      <c r="D122" s="50"/>
      <c r="E122" s="51"/>
      <c r="F122" s="52">
        <f>IFERROR(__xludf.DUMMYFUNCTION("""COMPUTED_VALUE"""),0.0)</f>
        <v>0</v>
      </c>
      <c r="G122" s="45"/>
      <c r="H122" s="31">
        <f t="shared" si="30"/>
        <v>0</v>
      </c>
      <c r="I122" s="31">
        <f t="shared" si="31"/>
        <v>0</v>
      </c>
      <c r="J122" s="32" t="str">
        <f t="shared" si="32"/>
        <v/>
      </c>
      <c r="K122" s="32"/>
      <c r="L122" s="33">
        <f t="shared" si="33"/>
        <v>0</v>
      </c>
      <c r="M122" s="32"/>
      <c r="N122" s="32"/>
      <c r="O122" s="34">
        <f t="shared" si="34"/>
        <v>0</v>
      </c>
      <c r="P122" s="36"/>
      <c r="Q122" s="36"/>
      <c r="R122" s="37">
        <f t="shared" si="35"/>
        <v>0</v>
      </c>
      <c r="S122" s="38">
        <f t="shared" si="36"/>
        <v>0</v>
      </c>
      <c r="T122" s="52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0"/>
      <c r="E123" s="51"/>
      <c r="F123" s="52">
        <f>IFERROR(__xludf.DUMMYFUNCTION("""COMPUTED_VALUE"""),0.0)</f>
        <v>0</v>
      </c>
      <c r="G123" s="45"/>
      <c r="H123" s="31">
        <f t="shared" si="30"/>
        <v>0</v>
      </c>
      <c r="I123" s="31">
        <f t="shared" si="31"/>
        <v>0</v>
      </c>
      <c r="J123" s="32" t="str">
        <f t="shared" si="32"/>
        <v/>
      </c>
      <c r="K123" s="32"/>
      <c r="L123" s="33">
        <f t="shared" si="33"/>
        <v>0</v>
      </c>
      <c r="M123" s="32"/>
      <c r="N123" s="32"/>
      <c r="O123" s="34">
        <f t="shared" si="34"/>
        <v>0</v>
      </c>
      <c r="P123" s="44"/>
      <c r="Q123" s="44"/>
      <c r="R123" s="37">
        <f t="shared" si="35"/>
        <v>0</v>
      </c>
      <c r="S123" s="38">
        <f t="shared" si="36"/>
        <v>0</v>
      </c>
      <c r="T123" s="39"/>
      <c r="U123" s="42">
        <f>IFERROR(__xludf.DUMMYFUNCTION("""COMPUTED_VALUE"""),0.0)</f>
        <v>0</v>
      </c>
    </row>
    <row r="124" ht="37.5" customHeight="1">
      <c r="B124" s="25">
        <v>16.0</v>
      </c>
      <c r="C124" s="49"/>
      <c r="D124" s="50"/>
      <c r="E124" s="51"/>
      <c r="F124" s="52">
        <f>IFERROR(__xludf.DUMMYFUNCTION("""COMPUTED_VALUE"""),0.0)</f>
        <v>0</v>
      </c>
      <c r="G124" s="45"/>
      <c r="H124" s="31">
        <f t="shared" si="30"/>
        <v>0</v>
      </c>
      <c r="I124" s="31">
        <f t="shared" si="31"/>
        <v>0</v>
      </c>
      <c r="J124" s="32" t="str">
        <f t="shared" si="32"/>
        <v/>
      </c>
      <c r="K124" s="32"/>
      <c r="L124" s="33">
        <f t="shared" si="33"/>
        <v>0</v>
      </c>
      <c r="M124" s="32"/>
      <c r="N124" s="32"/>
      <c r="O124" s="34">
        <f t="shared" si="34"/>
        <v>0</v>
      </c>
      <c r="P124" s="44"/>
      <c r="Q124" s="44"/>
      <c r="R124" s="37">
        <f t="shared" si="35"/>
        <v>0</v>
      </c>
      <c r="S124" s="38">
        <f t="shared" si="36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49"/>
      <c r="D125" s="50"/>
      <c r="E125" s="51"/>
      <c r="F125" s="52">
        <f>IFERROR(__xludf.DUMMYFUNCTION("""COMPUTED_VALUE"""),0.0)</f>
        <v>0</v>
      </c>
      <c r="G125" s="45"/>
      <c r="H125" s="31">
        <f t="shared" si="30"/>
        <v>0</v>
      </c>
      <c r="I125" s="31">
        <f t="shared" si="31"/>
        <v>0</v>
      </c>
      <c r="J125" s="32" t="str">
        <f t="shared" si="32"/>
        <v/>
      </c>
      <c r="K125" s="32"/>
      <c r="L125" s="33">
        <f t="shared" si="33"/>
        <v>0</v>
      </c>
      <c r="M125" s="32"/>
      <c r="N125" s="32"/>
      <c r="O125" s="34">
        <f t="shared" si="34"/>
        <v>0</v>
      </c>
      <c r="P125" s="44"/>
      <c r="Q125" s="44"/>
      <c r="R125" s="37">
        <f t="shared" si="35"/>
        <v>0</v>
      </c>
      <c r="S125" s="38">
        <f t="shared" si="36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0"/>
        <v>0</v>
      </c>
      <c r="I126" s="31">
        <f t="shared" si="31"/>
        <v>0</v>
      </c>
      <c r="J126" s="32" t="str">
        <f t="shared" si="32"/>
        <v/>
      </c>
      <c r="K126" s="32"/>
      <c r="L126" s="33">
        <f t="shared" si="33"/>
        <v>0</v>
      </c>
      <c r="M126" s="32"/>
      <c r="N126" s="32"/>
      <c r="O126" s="34">
        <f t="shared" si="34"/>
        <v>0</v>
      </c>
      <c r="P126" s="44"/>
      <c r="Q126" s="44"/>
      <c r="R126" s="37">
        <f t="shared" si="35"/>
        <v>0</v>
      </c>
      <c r="S126" s="38">
        <f t="shared" si="36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0"/>
        <v>0</v>
      </c>
      <c r="I127" s="31">
        <f t="shared" si="31"/>
        <v>0</v>
      </c>
      <c r="J127" s="32" t="str">
        <f t="shared" si="32"/>
        <v/>
      </c>
      <c r="K127" s="32"/>
      <c r="L127" s="33">
        <f t="shared" si="33"/>
        <v>0</v>
      </c>
      <c r="M127" s="32"/>
      <c r="N127" s="32"/>
      <c r="O127" s="34">
        <f t="shared" si="34"/>
        <v>0</v>
      </c>
      <c r="P127" s="44"/>
      <c r="Q127" s="44"/>
      <c r="R127" s="37">
        <f t="shared" si="35"/>
        <v>0</v>
      </c>
      <c r="S127" s="38">
        <f t="shared" si="36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0"/>
        <v>0</v>
      </c>
      <c r="I128" s="31">
        <f t="shared" si="31"/>
        <v>0</v>
      </c>
      <c r="J128" s="32" t="str">
        <f t="shared" si="32"/>
        <v/>
      </c>
      <c r="K128" s="32"/>
      <c r="L128" s="33">
        <f t="shared" si="33"/>
        <v>0</v>
      </c>
      <c r="M128" s="32"/>
      <c r="N128" s="32"/>
      <c r="O128" s="34">
        <f t="shared" si="34"/>
        <v>0</v>
      </c>
      <c r="P128" s="44"/>
      <c r="Q128" s="44"/>
      <c r="R128" s="37">
        <f t="shared" si="35"/>
        <v>0</v>
      </c>
      <c r="S128" s="38">
        <f t="shared" si="36"/>
        <v>0</v>
      </c>
      <c r="T128" s="51"/>
      <c r="U128" s="42"/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0"/>
        <v>0</v>
      </c>
      <c r="I129" s="31">
        <f t="shared" si="31"/>
        <v>0</v>
      </c>
      <c r="J129" s="32" t="str">
        <f t="shared" si="32"/>
        <v/>
      </c>
      <c r="K129" s="32"/>
      <c r="L129" s="33">
        <f t="shared" si="33"/>
        <v>0</v>
      </c>
      <c r="M129" s="32"/>
      <c r="N129" s="32"/>
      <c r="O129" s="34">
        <f t="shared" si="34"/>
        <v>0</v>
      </c>
      <c r="P129" s="44"/>
      <c r="Q129" s="44"/>
      <c r="R129" s="37">
        <f t="shared" si="35"/>
        <v>0</v>
      </c>
      <c r="S129" s="38">
        <f t="shared" si="36"/>
        <v>0</v>
      </c>
      <c r="T129" s="51"/>
      <c r="U129" s="42"/>
    </row>
    <row r="130" ht="37.5" customHeight="1">
      <c r="B130" s="25">
        <v>22.0</v>
      </c>
      <c r="C130" s="49"/>
      <c r="D130" s="51"/>
      <c r="E130" s="51"/>
      <c r="F130" s="42"/>
      <c r="G130" s="53"/>
      <c r="H130" s="31">
        <f t="shared" si="30"/>
        <v>0</v>
      </c>
      <c r="I130" s="31">
        <f t="shared" si="31"/>
        <v>0</v>
      </c>
      <c r="J130" s="32" t="str">
        <f t="shared" si="32"/>
        <v/>
      </c>
      <c r="K130" s="32"/>
      <c r="L130" s="33">
        <f t="shared" si="33"/>
        <v>0</v>
      </c>
      <c r="M130" s="32"/>
      <c r="N130" s="32"/>
      <c r="O130" s="34">
        <f t="shared" si="34"/>
        <v>0</v>
      </c>
      <c r="P130" s="44"/>
      <c r="Q130" s="44"/>
      <c r="R130" s="37">
        <f t="shared" si="35"/>
        <v>0</v>
      </c>
      <c r="S130" s="38">
        <f t="shared" si="36"/>
        <v>0</v>
      </c>
      <c r="T130" s="51"/>
      <c r="U130" s="42"/>
    </row>
    <row r="131">
      <c r="B131" s="54"/>
      <c r="F131" s="55" t="s">
        <v>21</v>
      </c>
      <c r="S131" s="56">
        <f>SUM(S109:S130)</f>
        <v>0</v>
      </c>
      <c r="T131" s="57"/>
      <c r="U131" s="58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>
      <c r="B133" s="67" t="s">
        <v>21</v>
      </c>
      <c r="F133" s="68">
        <f>S31+S56+S81+S106+S131</f>
        <v>0</v>
      </c>
      <c r="T133" s="69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75"/>
  <cols>
    <col customWidth="1" min="1" max="1" width="6.25"/>
    <col customWidth="1" min="2" max="2" width="8.25"/>
    <col customWidth="1" min="3" max="3" width="24.38"/>
    <col customWidth="1" min="4" max="4" width="27.88"/>
    <col customWidth="1" min="5" max="5" width="23.13"/>
    <col customWidth="1" min="6" max="6" width="24.25"/>
    <col customWidth="1" min="7" max="7" width="22.75"/>
    <col customWidth="1" min="8" max="8" width="21.88"/>
    <col customWidth="1" min="9" max="9" width="17.88"/>
    <col customWidth="1" min="10" max="10" width="27.13"/>
    <col customWidth="1" min="11" max="11" width="20.13"/>
    <col customWidth="1" min="12" max="12" width="25.38"/>
    <col customWidth="1" min="13" max="13" width="22.88"/>
    <col customWidth="1" min="14" max="14" width="15.13"/>
    <col customWidth="1" min="15" max="15" width="23.13"/>
    <col customWidth="1" min="16" max="16" width="15.63"/>
    <col customWidth="1" min="17" max="17" width="15.38"/>
    <col customWidth="1" min="18" max="18" width="19.13"/>
    <col customWidth="1" min="19" max="19" width="17.0"/>
    <col customWidth="1" min="20" max="20" width="42.38"/>
    <col customWidth="1" min="21" max="21" width="21.38"/>
  </cols>
  <sheetData>
    <row r="2" ht="27.0" customHeight="1">
      <c r="B2" s="1">
        <f>IFERROR(__xludf.DUMMYFUNCTION("IMPORTRANGE(""https://docs.google.com/spreadsheets/d/17TnzcKnlaqlAyM_3lnNpgK5CAOPbscCCRVH50X8UulY/edit?usp=sharing"",""DESEMBER!B2"")"),46357.0)</f>
        <v>46357</v>
      </c>
      <c r="C2" s="2"/>
      <c r="D2" s="2"/>
      <c r="E2" s="3"/>
      <c r="F2" s="126" t="s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29"/>
    </row>
    <row r="3" ht="42.0" customHeight="1">
      <c r="B3" s="5"/>
      <c r="C3" s="6"/>
      <c r="D3" s="6"/>
      <c r="E3" s="7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129"/>
    </row>
    <row r="4">
      <c r="B4" s="8"/>
      <c r="C4" s="8"/>
      <c r="D4" s="8"/>
      <c r="E4" s="8"/>
      <c r="F4" s="8"/>
      <c r="G4" s="8"/>
      <c r="H4" s="9" t="s">
        <v>1</v>
      </c>
      <c r="I4" s="10"/>
      <c r="J4" s="10"/>
      <c r="K4" s="10"/>
      <c r="L4" s="10"/>
      <c r="M4" s="10"/>
      <c r="N4" s="10"/>
      <c r="O4" s="11"/>
      <c r="P4" s="12" t="s">
        <v>2</v>
      </c>
      <c r="Q4" s="10"/>
      <c r="R4" s="11"/>
      <c r="S4" s="13" t="s">
        <v>3</v>
      </c>
      <c r="T4" s="13" t="s">
        <v>4</v>
      </c>
      <c r="U4" s="13" t="s">
        <v>5</v>
      </c>
    </row>
    <row r="5"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14" t="s">
        <v>13</v>
      </c>
      <c r="J5" s="14" t="s">
        <v>14</v>
      </c>
      <c r="K5" s="8" t="s">
        <v>15</v>
      </c>
      <c r="L5" s="15" t="s">
        <v>5</v>
      </c>
      <c r="M5" s="15" t="s">
        <v>16</v>
      </c>
      <c r="N5" s="15" t="s">
        <v>17</v>
      </c>
      <c r="O5" s="14" t="s">
        <v>18</v>
      </c>
      <c r="P5" s="15" t="s">
        <v>19</v>
      </c>
      <c r="Q5" s="15" t="s">
        <v>19</v>
      </c>
      <c r="R5" s="14" t="s">
        <v>20</v>
      </c>
      <c r="S5" s="16"/>
      <c r="T5" s="16"/>
      <c r="U5" s="16"/>
    </row>
    <row r="6">
      <c r="B6" s="17">
        <v>1.0</v>
      </c>
      <c r="C6" s="17">
        <v>2.0</v>
      </c>
      <c r="D6" s="18">
        <v>3.0</v>
      </c>
      <c r="E6" s="17">
        <v>4.0</v>
      </c>
      <c r="F6" s="17">
        <v>5.0</v>
      </c>
      <c r="G6" s="18">
        <v>6.0</v>
      </c>
      <c r="H6" s="17">
        <v>7.0</v>
      </c>
      <c r="I6" s="17">
        <v>8.0</v>
      </c>
      <c r="J6" s="18">
        <v>9.0</v>
      </c>
      <c r="K6" s="17">
        <v>10.0</v>
      </c>
      <c r="L6" s="17">
        <v>11.0</v>
      </c>
      <c r="M6" s="18">
        <v>12.0</v>
      </c>
      <c r="N6" s="17">
        <v>13.0</v>
      </c>
      <c r="O6" s="17">
        <v>14.0</v>
      </c>
      <c r="P6" s="18">
        <v>15.0</v>
      </c>
      <c r="Q6" s="17">
        <v>16.0</v>
      </c>
      <c r="R6" s="17">
        <v>17.0</v>
      </c>
      <c r="S6" s="18">
        <v>18.0</v>
      </c>
      <c r="T6" s="17">
        <v>19.0</v>
      </c>
      <c r="U6" s="17">
        <v>20.0</v>
      </c>
    </row>
    <row r="7">
      <c r="B7" s="19"/>
      <c r="C7" s="19"/>
      <c r="D7" s="20"/>
      <c r="E7" s="19"/>
      <c r="F7" s="19"/>
      <c r="G7" s="20"/>
      <c r="H7" s="19"/>
      <c r="I7" s="19"/>
      <c r="J7" s="20"/>
      <c r="K7" s="19"/>
      <c r="L7" s="19"/>
      <c r="M7" s="20"/>
      <c r="N7" s="19"/>
      <c r="O7" s="19"/>
      <c r="P7" s="20"/>
      <c r="Q7" s="19"/>
      <c r="R7" s="19"/>
      <c r="S7" s="20"/>
      <c r="T7" s="20"/>
    </row>
    <row r="8" ht="37.5" customHeight="1">
      <c r="B8" s="21" t="str">
        <f>IFERROR(__xludf.DUMMYFUNCTION("IMPORTRANGE(""https://docs.google.com/spreadsheets/d/17TnzcKnlaqlAyM_3lnNpgK5CAOPbscCCRVH50X8UulY/edit?usp=sharing"",""DESEMBER!B6"")"),"TANGGAL :  1-5 DESEMBER 2026")</f>
        <v>TANGGAL :  1-5 DESEMBER 2026</v>
      </c>
      <c r="F8" s="22"/>
      <c r="G8" s="22"/>
      <c r="H8" s="22"/>
      <c r="I8" s="22"/>
      <c r="J8" s="22"/>
      <c r="K8" s="22"/>
      <c r="L8" s="23">
        <v>15000.0</v>
      </c>
      <c r="M8" s="22"/>
      <c r="N8" s="22"/>
      <c r="O8" s="22"/>
      <c r="P8" s="22"/>
      <c r="Q8" s="22"/>
      <c r="R8" s="22"/>
      <c r="S8" s="22"/>
      <c r="T8" s="22"/>
      <c r="U8" s="22"/>
    </row>
    <row r="9" ht="37.5" customHeight="1">
      <c r="A9" s="24"/>
      <c r="B9" s="25">
        <v>1.0</v>
      </c>
      <c r="C9" s="25" t="str">
        <f>IFERROR(__xludf.DUMMYFUNCTION("IMPORTRANGE(""https://docs.google.com/spreadsheets/d/17TnzcKnlaqlAyM_3lnNpgK5CAOPbscCCRVH50X8UulY/edit?usp=sharing"",""DESEMBER!B7:D25"")"),"EPUL")</f>
        <v>EPUL</v>
      </c>
      <c r="D9" s="146" t="str">
        <f>IFERROR(__xludf.DUMMYFUNCTION("""COMPUTED_VALUE"""),"KEPALA")</f>
        <v>KEPALA</v>
      </c>
      <c r="E9" s="42"/>
      <c r="F9" s="52">
        <f>IFERROR(__xludf.DUMMYFUNCTION("IMPORTRANGE(""https://docs.google.com/spreadsheets/d/17TnzcKnlaqlAyM_3lnNpgK5CAOPbscCCRVH50X8UulY/edit?usp=sharing"",""DESEMBER!K7:K25"")"),0.0)</f>
        <v>0</v>
      </c>
      <c r="G9" s="30">
        <v>110000.0</v>
      </c>
      <c r="H9" s="31">
        <f t="shared" ref="H9:H30" si="1">F9*G9</f>
        <v>0</v>
      </c>
      <c r="I9" s="31">
        <f t="shared" ref="I9:I30" si="2">F9*10000</f>
        <v>0</v>
      </c>
      <c r="J9" s="32" t="str">
        <f t="shared" ref="J9:J22" si="3">IF(E9="SHIFT 2",I9,"")</f>
        <v/>
      </c>
      <c r="K9" s="32"/>
      <c r="L9" s="33">
        <f t="shared" ref="L9:L30" si="4">U9*$L$8</f>
        <v>0</v>
      </c>
      <c r="M9" s="32"/>
      <c r="N9" s="32"/>
      <c r="O9" s="34">
        <f t="shared" ref="O9:O30" si="5">SUM(H9:N9)</f>
        <v>0</v>
      </c>
      <c r="P9" s="44"/>
      <c r="Q9" s="44"/>
      <c r="R9" s="37">
        <f t="shared" ref="R9:R30" si="6">SUM(P9:Q9)</f>
        <v>0</v>
      </c>
      <c r="S9" s="38">
        <f t="shared" ref="S9:S30" si="7">O9-R9</f>
        <v>0</v>
      </c>
      <c r="T9" s="39" t="str">
        <f>IFERROR(__xludf.DUMMYFUNCTION("IMPORTRANGE(""https://docs.google.com/spreadsheets/d/17TnzcKnlaqlAyM_3lnNpgK5CAOPbscCCRVH50X8UulY/edit?usp=sharing"",""DESEMBER!L7:L25"")"),"")</f>
        <v/>
      </c>
      <c r="U9" s="42">
        <f>IFERROR(__xludf.DUMMYFUNCTION("IMPORTRANGE(""https://docs.google.com/spreadsheets/d/17TnzcKnlaqlAyM_3lnNpgK5CAOPbscCCRVH50X8UulY/edit?usp=sharing"",""DESEMBER!U7:U25"")"),0.0)</f>
        <v>0</v>
      </c>
      <c r="V9" s="24"/>
      <c r="W9" s="24"/>
    </row>
    <row r="10" ht="37.5" customHeight="1">
      <c r="A10" s="24"/>
      <c r="B10" s="25">
        <v>2.0</v>
      </c>
      <c r="C10" s="25" t="str">
        <f>IFERROR(__xludf.DUMMYFUNCTION("""COMPUTED_VALUE"""),"HISMI")</f>
        <v>HISMI</v>
      </c>
      <c r="D10" s="146" t="str">
        <f>IFERROR(__xludf.DUMMYFUNCTION("""COMPUTED_VALUE"""),"ADMIN")</f>
        <v>ADMIN</v>
      </c>
      <c r="E10" s="42"/>
      <c r="F10" s="52">
        <f>IFERROR(__xludf.DUMMYFUNCTION("""COMPUTED_VALUE"""),0.0)</f>
        <v>0</v>
      </c>
      <c r="G10" s="30">
        <v>70000.0</v>
      </c>
      <c r="H10" s="31">
        <f t="shared" si="1"/>
        <v>0</v>
      </c>
      <c r="I10" s="31">
        <f t="shared" si="2"/>
        <v>0</v>
      </c>
      <c r="J10" s="32" t="str">
        <f t="shared" si="3"/>
        <v/>
      </c>
      <c r="K10" s="41"/>
      <c r="L10" s="33">
        <f t="shared" si="4"/>
        <v>0</v>
      </c>
      <c r="M10" s="41"/>
      <c r="N10" s="41"/>
      <c r="O10" s="34">
        <f t="shared" si="5"/>
        <v>0</v>
      </c>
      <c r="P10" s="44"/>
      <c r="Q10" s="44"/>
      <c r="R10" s="37">
        <f t="shared" si="6"/>
        <v>0</v>
      </c>
      <c r="S10" s="38">
        <f t="shared" si="7"/>
        <v>0</v>
      </c>
      <c r="T10" s="39"/>
      <c r="U10" s="42">
        <f>IFERROR(__xludf.DUMMYFUNCTION("""COMPUTED_VALUE"""),0.0)</f>
        <v>0</v>
      </c>
      <c r="V10" s="24"/>
      <c r="W10" s="24"/>
    </row>
    <row r="11" ht="37.5" customHeight="1">
      <c r="A11" s="24"/>
      <c r="B11" s="25">
        <v>3.0</v>
      </c>
      <c r="C11" s="25"/>
      <c r="D11" s="146" t="str">
        <f>IFERROR(__xludf.DUMMYFUNCTION("""COMPUTED_VALUE"""),"ADMIN")</f>
        <v>ADMIN</v>
      </c>
      <c r="E11" s="51"/>
      <c r="F11" s="52">
        <f>IFERROR(__xludf.DUMMYFUNCTION("""COMPUTED_VALUE"""),0.0)</f>
        <v>0</v>
      </c>
      <c r="G11" s="30">
        <v>70000.0</v>
      </c>
      <c r="H11" s="31">
        <f t="shared" si="1"/>
        <v>0</v>
      </c>
      <c r="I11" s="31">
        <f t="shared" si="2"/>
        <v>0</v>
      </c>
      <c r="J11" s="32" t="str">
        <f t="shared" si="3"/>
        <v/>
      </c>
      <c r="K11" s="41"/>
      <c r="L11" s="33">
        <f t="shared" si="4"/>
        <v>0</v>
      </c>
      <c r="M11" s="41"/>
      <c r="N11" s="41"/>
      <c r="O11" s="34">
        <f t="shared" si="5"/>
        <v>0</v>
      </c>
      <c r="P11" s="44"/>
      <c r="Q11" s="44"/>
      <c r="R11" s="37">
        <f t="shared" si="6"/>
        <v>0</v>
      </c>
      <c r="S11" s="38">
        <f t="shared" si="7"/>
        <v>0</v>
      </c>
      <c r="T11" s="39"/>
      <c r="U11" s="42">
        <f>IFERROR(__xludf.DUMMYFUNCTION("""COMPUTED_VALUE"""),0.0)</f>
        <v>0</v>
      </c>
      <c r="V11" s="24"/>
      <c r="W11" s="24"/>
    </row>
    <row r="12" ht="37.5" customHeight="1">
      <c r="A12" s="24"/>
      <c r="B12" s="25">
        <v>4.0</v>
      </c>
      <c r="C12" s="25" t="str">
        <f>IFERROR(__xludf.DUMMYFUNCTION("""COMPUTED_VALUE"""),"ANDRI")</f>
        <v>ANDRI</v>
      </c>
      <c r="D12" s="146" t="str">
        <f>IFERROR(__xludf.DUMMYFUNCTION("""COMPUTED_VALUE"""),"DESIGN BORDIR")</f>
        <v>DESIGN BORDIR</v>
      </c>
      <c r="E12" s="51"/>
      <c r="F12" s="52">
        <f>IFERROR(__xludf.DUMMYFUNCTION("""COMPUTED_VALUE"""),0.0)</f>
        <v>0</v>
      </c>
      <c r="G12" s="30">
        <v>70000.0</v>
      </c>
      <c r="H12" s="31">
        <f t="shared" si="1"/>
        <v>0</v>
      </c>
      <c r="I12" s="31">
        <f t="shared" si="2"/>
        <v>0</v>
      </c>
      <c r="J12" s="32" t="str">
        <f t="shared" si="3"/>
        <v/>
      </c>
      <c r="K12" s="32"/>
      <c r="L12" s="33">
        <f t="shared" si="4"/>
        <v>0</v>
      </c>
      <c r="M12" s="32"/>
      <c r="N12" s="32"/>
      <c r="O12" s="34">
        <f t="shared" si="5"/>
        <v>0</v>
      </c>
      <c r="P12" s="44"/>
      <c r="Q12" s="44"/>
      <c r="R12" s="37">
        <f t="shared" si="6"/>
        <v>0</v>
      </c>
      <c r="S12" s="38">
        <f t="shared" si="7"/>
        <v>0</v>
      </c>
      <c r="T12" s="39"/>
      <c r="U12" s="42">
        <f>IFERROR(__xludf.DUMMYFUNCTION("""COMPUTED_VALUE"""),0.0)</f>
        <v>0</v>
      </c>
      <c r="V12" s="134"/>
      <c r="W12" s="24"/>
    </row>
    <row r="13" ht="37.5" customHeight="1">
      <c r="A13" s="24"/>
      <c r="B13" s="25">
        <v>5.0</v>
      </c>
      <c r="C13" s="25" t="str">
        <f>IFERROR(__xludf.DUMMYFUNCTION("""COMPUTED_VALUE"""),"ADIT")</f>
        <v>ADIT</v>
      </c>
      <c r="D13" s="146" t="str">
        <f>IFERROR(__xludf.DUMMYFUNCTION("""COMPUTED_VALUE"""),"CREATOR")</f>
        <v>CREATOR</v>
      </c>
      <c r="E13" s="51"/>
      <c r="F13" s="52">
        <f>IFERROR(__xludf.DUMMYFUNCTION("""COMPUTED_VALUE"""),0.0)</f>
        <v>0</v>
      </c>
      <c r="G13" s="30">
        <v>50000.0</v>
      </c>
      <c r="H13" s="31">
        <f t="shared" si="1"/>
        <v>0</v>
      </c>
      <c r="I13" s="31">
        <f t="shared" si="2"/>
        <v>0</v>
      </c>
      <c r="J13" s="32" t="str">
        <f t="shared" si="3"/>
        <v/>
      </c>
      <c r="K13" s="32"/>
      <c r="L13" s="33">
        <f t="shared" si="4"/>
        <v>0</v>
      </c>
      <c r="M13" s="32"/>
      <c r="N13" s="32"/>
      <c r="O13" s="34">
        <f t="shared" si="5"/>
        <v>0</v>
      </c>
      <c r="P13" s="44"/>
      <c r="Q13" s="44"/>
      <c r="R13" s="37">
        <f t="shared" si="6"/>
        <v>0</v>
      </c>
      <c r="S13" s="38">
        <f t="shared" si="7"/>
        <v>0</v>
      </c>
      <c r="T13" s="39"/>
      <c r="U13" s="42">
        <f>IFERROR(__xludf.DUMMYFUNCTION("""COMPUTED_VALUE"""),0.0)</f>
        <v>0</v>
      </c>
      <c r="V13" s="134"/>
      <c r="W13" s="24"/>
    </row>
    <row r="14" ht="37.5" customHeight="1">
      <c r="A14" s="24"/>
      <c r="B14" s="25">
        <v>6.0</v>
      </c>
      <c r="C14" s="25" t="str">
        <f>IFERROR(__xludf.DUMMYFUNCTION("""COMPUTED_VALUE"""),"WILI")</f>
        <v>WILI</v>
      </c>
      <c r="D14" s="146" t="str">
        <f>IFERROR(__xludf.DUMMYFUNCTION("""COMPUTED_VALUE"""),"OP MESIN")</f>
        <v>OP MESIN</v>
      </c>
      <c r="E14" s="51"/>
      <c r="F14" s="52">
        <f>IFERROR(__xludf.DUMMYFUNCTION("""COMPUTED_VALUE"""),0.0)</f>
        <v>0</v>
      </c>
      <c r="G14" s="30">
        <v>70000.0</v>
      </c>
      <c r="H14" s="31">
        <f t="shared" si="1"/>
        <v>0</v>
      </c>
      <c r="I14" s="31">
        <f t="shared" si="2"/>
        <v>0</v>
      </c>
      <c r="J14" s="32" t="str">
        <f t="shared" si="3"/>
        <v/>
      </c>
      <c r="K14" s="32"/>
      <c r="L14" s="33">
        <f t="shared" si="4"/>
        <v>0</v>
      </c>
      <c r="M14" s="32"/>
      <c r="N14" s="32"/>
      <c r="O14" s="34">
        <f t="shared" si="5"/>
        <v>0</v>
      </c>
      <c r="P14" s="44"/>
      <c r="Q14" s="44"/>
      <c r="R14" s="37">
        <f t="shared" si="6"/>
        <v>0</v>
      </c>
      <c r="S14" s="38">
        <f t="shared" si="7"/>
        <v>0</v>
      </c>
      <c r="T14" s="39"/>
      <c r="U14" s="42">
        <f>IFERROR(__xludf.DUMMYFUNCTION("""COMPUTED_VALUE"""),0.0)</f>
        <v>0</v>
      </c>
      <c r="V14" s="135"/>
      <c r="W14" s="24"/>
    </row>
    <row r="15" ht="37.5" customHeight="1">
      <c r="A15" s="24"/>
      <c r="B15" s="25">
        <v>7.0</v>
      </c>
      <c r="C15" s="25" t="str">
        <f>IFERROR(__xludf.DUMMYFUNCTION("""COMPUTED_VALUE"""),"OGA")</f>
        <v>OGA</v>
      </c>
      <c r="D15" s="146" t="str">
        <f>IFERROR(__xludf.DUMMYFUNCTION("""COMPUTED_VALUE"""),"OP MESIN")</f>
        <v>OP MESIN</v>
      </c>
      <c r="E15" s="51"/>
      <c r="F15" s="52">
        <f>IFERROR(__xludf.DUMMYFUNCTION("""COMPUTED_VALUE"""),0.0)</f>
        <v>0</v>
      </c>
      <c r="G15" s="30">
        <v>70000.0</v>
      </c>
      <c r="H15" s="31">
        <f t="shared" si="1"/>
        <v>0</v>
      </c>
      <c r="I15" s="31">
        <f t="shared" si="2"/>
        <v>0</v>
      </c>
      <c r="J15" s="32" t="str">
        <f t="shared" si="3"/>
        <v/>
      </c>
      <c r="K15" s="32"/>
      <c r="L15" s="33">
        <f t="shared" si="4"/>
        <v>0</v>
      </c>
      <c r="M15" s="32"/>
      <c r="N15" s="32"/>
      <c r="O15" s="34">
        <f t="shared" si="5"/>
        <v>0</v>
      </c>
      <c r="P15" s="44"/>
      <c r="Q15" s="44"/>
      <c r="R15" s="37">
        <f t="shared" si="6"/>
        <v>0</v>
      </c>
      <c r="S15" s="38">
        <f t="shared" si="7"/>
        <v>0</v>
      </c>
      <c r="T15" s="39"/>
      <c r="U15" s="42">
        <f>IFERROR(__xludf.DUMMYFUNCTION("""COMPUTED_VALUE"""),0.0)</f>
        <v>0</v>
      </c>
      <c r="V15" s="135"/>
      <c r="W15" s="24"/>
    </row>
    <row r="16" ht="37.5" customHeight="1">
      <c r="A16" s="24"/>
      <c r="B16" s="25">
        <v>8.0</v>
      </c>
      <c r="C16" s="25" t="str">
        <f>IFERROR(__xludf.DUMMYFUNCTION("""COMPUTED_VALUE"""),"ASEP")</f>
        <v>ASEP</v>
      </c>
      <c r="D16" s="146" t="str">
        <f>IFERROR(__xludf.DUMMYFUNCTION("""COMPUTED_VALUE"""),"OP MESIN")</f>
        <v>OP MESIN</v>
      </c>
      <c r="E16" s="51"/>
      <c r="F16" s="52">
        <f>IFERROR(__xludf.DUMMYFUNCTION("""COMPUTED_VALUE"""),0.0)</f>
        <v>0</v>
      </c>
      <c r="G16" s="30">
        <v>50000.0</v>
      </c>
      <c r="H16" s="31">
        <f t="shared" si="1"/>
        <v>0</v>
      </c>
      <c r="I16" s="31">
        <f t="shared" si="2"/>
        <v>0</v>
      </c>
      <c r="J16" s="32" t="str">
        <f t="shared" si="3"/>
        <v/>
      </c>
      <c r="K16" s="32"/>
      <c r="L16" s="33">
        <f t="shared" si="4"/>
        <v>0</v>
      </c>
      <c r="M16" s="32"/>
      <c r="N16" s="32"/>
      <c r="O16" s="34">
        <f t="shared" si="5"/>
        <v>0</v>
      </c>
      <c r="P16" s="44"/>
      <c r="Q16" s="44"/>
      <c r="R16" s="37">
        <f t="shared" si="6"/>
        <v>0</v>
      </c>
      <c r="S16" s="38">
        <f t="shared" si="7"/>
        <v>0</v>
      </c>
      <c r="T16" s="39"/>
      <c r="U16" s="42">
        <f>IFERROR(__xludf.DUMMYFUNCTION("""COMPUTED_VALUE"""),0.0)</f>
        <v>0</v>
      </c>
      <c r="V16" s="134"/>
      <c r="W16" s="24"/>
    </row>
    <row r="17" ht="37.5" customHeight="1">
      <c r="A17" s="24"/>
      <c r="B17" s="25">
        <v>9.0</v>
      </c>
      <c r="C17" s="26" t="str">
        <f>IFERROR(__xludf.DUMMYFUNCTION("""COMPUTED_VALUE"""),"HIFNI")</f>
        <v>HIFNI</v>
      </c>
      <c r="D17" s="27" t="str">
        <f>IFERROR(__xludf.DUMMYFUNCTION("""COMPUTED_VALUE"""),"OP MESIN")</f>
        <v>OP MESIN</v>
      </c>
      <c r="E17" s="51"/>
      <c r="F17" s="52">
        <f>IFERROR(__xludf.DUMMYFUNCTION("""COMPUTED_VALUE"""),0.0)</f>
        <v>0</v>
      </c>
      <c r="G17" s="30">
        <v>50000.0</v>
      </c>
      <c r="H17" s="31">
        <f t="shared" si="1"/>
        <v>0</v>
      </c>
      <c r="I17" s="31">
        <f t="shared" si="2"/>
        <v>0</v>
      </c>
      <c r="J17" s="32" t="str">
        <f t="shared" si="3"/>
        <v/>
      </c>
      <c r="K17" s="32"/>
      <c r="L17" s="33">
        <f t="shared" si="4"/>
        <v>0</v>
      </c>
      <c r="M17" s="32"/>
      <c r="N17" s="32"/>
      <c r="O17" s="34">
        <f t="shared" si="5"/>
        <v>0</v>
      </c>
      <c r="P17" s="44"/>
      <c r="Q17" s="44"/>
      <c r="R17" s="37">
        <f t="shared" si="6"/>
        <v>0</v>
      </c>
      <c r="S17" s="38">
        <f t="shared" si="7"/>
        <v>0</v>
      </c>
      <c r="T17" s="39"/>
      <c r="U17" s="42">
        <f>IFERROR(__xludf.DUMMYFUNCTION("""COMPUTED_VALUE"""),0.0)</f>
        <v>0</v>
      </c>
      <c r="V17" s="134"/>
      <c r="W17" s="24"/>
    </row>
    <row r="18" ht="37.5" customHeight="1">
      <c r="A18" s="24"/>
      <c r="B18" s="25">
        <v>10.0</v>
      </c>
      <c r="C18" s="49" t="str">
        <f>IFERROR(__xludf.DUMMYFUNCTION("""COMPUTED_VALUE"""),"IIS")</f>
        <v>IIS</v>
      </c>
      <c r="D18" s="27" t="str">
        <f>IFERROR(__xludf.DUMMYFUNCTION("""COMPUTED_VALUE"""),"PACKING")</f>
        <v>PACKING</v>
      </c>
      <c r="E18" s="51"/>
      <c r="F18" s="52">
        <f>IFERROR(__xludf.DUMMYFUNCTION("""COMPUTED_VALUE"""),0.0)</f>
        <v>0</v>
      </c>
      <c r="G18" s="45"/>
      <c r="H18" s="31">
        <f t="shared" si="1"/>
        <v>0</v>
      </c>
      <c r="I18" s="31">
        <f t="shared" si="2"/>
        <v>0</v>
      </c>
      <c r="J18" s="32" t="str">
        <f t="shared" si="3"/>
        <v/>
      </c>
      <c r="K18" s="32"/>
      <c r="L18" s="33">
        <f t="shared" si="4"/>
        <v>0</v>
      </c>
      <c r="M18" s="32"/>
      <c r="N18" s="32"/>
      <c r="O18" s="34">
        <f t="shared" si="5"/>
        <v>0</v>
      </c>
      <c r="P18" s="44"/>
      <c r="Q18" s="44"/>
      <c r="R18" s="37">
        <f t="shared" si="6"/>
        <v>0</v>
      </c>
      <c r="S18" s="38">
        <f t="shared" si="7"/>
        <v>0</v>
      </c>
      <c r="T18" s="39"/>
      <c r="U18" s="42">
        <f>IFERROR(__xludf.DUMMYFUNCTION("""COMPUTED_VALUE"""),0.0)</f>
        <v>0</v>
      </c>
      <c r="V18" s="134"/>
      <c r="W18" s="24"/>
    </row>
    <row r="19" ht="37.5" customHeight="1">
      <c r="A19" s="24"/>
      <c r="B19" s="25">
        <v>11.0</v>
      </c>
      <c r="C19" s="49"/>
      <c r="D19" s="50"/>
      <c r="E19" s="51"/>
      <c r="F19" s="52">
        <f>IFERROR(__xludf.DUMMYFUNCTION("""COMPUTED_VALUE"""),0.0)</f>
        <v>0</v>
      </c>
      <c r="G19" s="45"/>
      <c r="H19" s="31">
        <f t="shared" si="1"/>
        <v>0</v>
      </c>
      <c r="I19" s="31">
        <f t="shared" si="2"/>
        <v>0</v>
      </c>
      <c r="J19" s="32" t="str">
        <f t="shared" si="3"/>
        <v/>
      </c>
      <c r="K19" s="32"/>
      <c r="L19" s="33">
        <f t="shared" si="4"/>
        <v>0</v>
      </c>
      <c r="M19" s="32"/>
      <c r="N19" s="32"/>
      <c r="O19" s="34">
        <f t="shared" si="5"/>
        <v>0</v>
      </c>
      <c r="P19" s="44"/>
      <c r="Q19" s="44"/>
      <c r="R19" s="37">
        <f t="shared" si="6"/>
        <v>0</v>
      </c>
      <c r="S19" s="38">
        <f t="shared" si="7"/>
        <v>0</v>
      </c>
      <c r="T19" s="39"/>
      <c r="U19" s="42">
        <f>IFERROR(__xludf.DUMMYFUNCTION("""COMPUTED_VALUE"""),0.0)</f>
        <v>0</v>
      </c>
      <c r="V19" s="134"/>
      <c r="W19" s="24"/>
    </row>
    <row r="20" ht="37.5" customHeight="1">
      <c r="A20" s="24"/>
      <c r="B20" s="25">
        <v>12.0</v>
      </c>
      <c r="C20" s="26"/>
      <c r="D20" s="27"/>
      <c r="E20" s="51"/>
      <c r="F20" s="52">
        <f>IFERROR(__xludf.DUMMYFUNCTION("""COMPUTED_VALUE"""),0.0)</f>
        <v>0</v>
      </c>
      <c r="G20" s="45"/>
      <c r="H20" s="31">
        <f t="shared" si="1"/>
        <v>0</v>
      </c>
      <c r="I20" s="31">
        <f t="shared" si="2"/>
        <v>0</v>
      </c>
      <c r="J20" s="32" t="str">
        <f t="shared" si="3"/>
        <v/>
      </c>
      <c r="K20" s="32"/>
      <c r="L20" s="33">
        <f t="shared" si="4"/>
        <v>0</v>
      </c>
      <c r="M20" s="32"/>
      <c r="N20" s="32"/>
      <c r="O20" s="34">
        <f t="shared" si="5"/>
        <v>0</v>
      </c>
      <c r="P20" s="44"/>
      <c r="Q20" s="44"/>
      <c r="R20" s="37">
        <f t="shared" si="6"/>
        <v>0</v>
      </c>
      <c r="S20" s="38">
        <f t="shared" si="7"/>
        <v>0</v>
      </c>
      <c r="T20" s="39"/>
      <c r="U20" s="42">
        <f>IFERROR(__xludf.DUMMYFUNCTION("""COMPUTED_VALUE"""),0.0)</f>
        <v>0</v>
      </c>
      <c r="V20" s="134"/>
      <c r="W20" s="24"/>
    </row>
    <row r="21" ht="37.5" customHeight="1">
      <c r="A21" s="24"/>
      <c r="B21" s="25">
        <v>13.0</v>
      </c>
      <c r="C21" s="49"/>
      <c r="D21" s="50"/>
      <c r="E21" s="51"/>
      <c r="F21" s="52">
        <f>IFERROR(__xludf.DUMMYFUNCTION("""COMPUTED_VALUE"""),0.0)</f>
        <v>0</v>
      </c>
      <c r="G21" s="45"/>
      <c r="H21" s="31">
        <f t="shared" si="1"/>
        <v>0</v>
      </c>
      <c r="I21" s="31">
        <f t="shared" si="2"/>
        <v>0</v>
      </c>
      <c r="J21" s="32" t="str">
        <f t="shared" si="3"/>
        <v/>
      </c>
      <c r="K21" s="32"/>
      <c r="L21" s="33">
        <f t="shared" si="4"/>
        <v>0</v>
      </c>
      <c r="M21" s="32"/>
      <c r="N21" s="32"/>
      <c r="O21" s="34">
        <f t="shared" si="5"/>
        <v>0</v>
      </c>
      <c r="P21" s="44"/>
      <c r="Q21" s="44"/>
      <c r="R21" s="37">
        <f t="shared" si="6"/>
        <v>0</v>
      </c>
      <c r="S21" s="38">
        <f t="shared" si="7"/>
        <v>0</v>
      </c>
      <c r="T21" s="39"/>
      <c r="U21" s="42">
        <f>IFERROR(__xludf.DUMMYFUNCTION("""COMPUTED_VALUE"""),0.0)</f>
        <v>0</v>
      </c>
      <c r="V21" s="134"/>
      <c r="W21" s="24"/>
    </row>
    <row r="22" ht="37.5" customHeight="1">
      <c r="A22" s="24"/>
      <c r="B22" s="25">
        <v>14.0</v>
      </c>
      <c r="C22" s="49"/>
      <c r="D22" s="50"/>
      <c r="E22" s="51"/>
      <c r="F22" s="52">
        <f>IFERROR(__xludf.DUMMYFUNCTION("""COMPUTED_VALUE"""),0.0)</f>
        <v>0</v>
      </c>
      <c r="G22" s="45"/>
      <c r="H22" s="31">
        <f t="shared" si="1"/>
        <v>0</v>
      </c>
      <c r="I22" s="31">
        <f t="shared" si="2"/>
        <v>0</v>
      </c>
      <c r="J22" s="32" t="str">
        <f t="shared" si="3"/>
        <v/>
      </c>
      <c r="K22" s="32"/>
      <c r="L22" s="33">
        <f t="shared" si="4"/>
        <v>0</v>
      </c>
      <c r="M22" s="32"/>
      <c r="N22" s="32"/>
      <c r="O22" s="34">
        <f t="shared" si="5"/>
        <v>0</v>
      </c>
      <c r="P22" s="44"/>
      <c r="Q22" s="44"/>
      <c r="R22" s="37">
        <f t="shared" si="6"/>
        <v>0</v>
      </c>
      <c r="S22" s="38">
        <f t="shared" si="7"/>
        <v>0</v>
      </c>
      <c r="T22" s="39"/>
      <c r="U22" s="42">
        <f>IFERROR(__xludf.DUMMYFUNCTION("""COMPUTED_VALUE"""),0.0)</f>
        <v>0</v>
      </c>
      <c r="V22" s="134"/>
      <c r="W22" s="24"/>
    </row>
    <row r="23" ht="37.5" customHeight="1">
      <c r="A23" s="24"/>
      <c r="B23" s="25">
        <v>15.0</v>
      </c>
      <c r="C23" s="49"/>
      <c r="D23" s="50"/>
      <c r="E23" s="51"/>
      <c r="F23" s="52">
        <f>IFERROR(__xludf.DUMMYFUNCTION("""COMPUTED_VALUE"""),0.0)</f>
        <v>0</v>
      </c>
      <c r="G23" s="45"/>
      <c r="H23" s="31">
        <f t="shared" si="1"/>
        <v>0</v>
      </c>
      <c r="I23" s="31">
        <f t="shared" si="2"/>
        <v>0</v>
      </c>
      <c r="J23" s="32"/>
      <c r="K23" s="32"/>
      <c r="L23" s="33">
        <f t="shared" si="4"/>
        <v>0</v>
      </c>
      <c r="M23" s="32"/>
      <c r="N23" s="32"/>
      <c r="O23" s="34">
        <f t="shared" si="5"/>
        <v>0</v>
      </c>
      <c r="P23" s="44"/>
      <c r="Q23" s="44"/>
      <c r="R23" s="37">
        <f t="shared" si="6"/>
        <v>0</v>
      </c>
      <c r="S23" s="38">
        <f t="shared" si="7"/>
        <v>0</v>
      </c>
      <c r="T23" s="39"/>
      <c r="U23" s="42">
        <f>IFERROR(__xludf.DUMMYFUNCTION("""COMPUTED_VALUE"""),0.0)</f>
        <v>0</v>
      </c>
      <c r="V23" s="134"/>
      <c r="W23" s="24"/>
    </row>
    <row r="24" ht="37.5" customHeight="1">
      <c r="A24" s="24"/>
      <c r="B24" s="25">
        <v>16.0</v>
      </c>
      <c r="C24" s="49"/>
      <c r="D24" s="50"/>
      <c r="E24" s="51"/>
      <c r="F24" s="52">
        <f>IFERROR(__xludf.DUMMYFUNCTION("""COMPUTED_VALUE"""),0.0)</f>
        <v>0</v>
      </c>
      <c r="G24" s="45"/>
      <c r="H24" s="31">
        <f t="shared" si="1"/>
        <v>0</v>
      </c>
      <c r="I24" s="31">
        <f t="shared" si="2"/>
        <v>0</v>
      </c>
      <c r="J24" s="32"/>
      <c r="K24" s="32"/>
      <c r="L24" s="33">
        <f t="shared" si="4"/>
        <v>0</v>
      </c>
      <c r="M24" s="32"/>
      <c r="N24" s="32"/>
      <c r="O24" s="34">
        <f t="shared" si="5"/>
        <v>0</v>
      </c>
      <c r="P24" s="44"/>
      <c r="Q24" s="44"/>
      <c r="R24" s="37">
        <f t="shared" si="6"/>
        <v>0</v>
      </c>
      <c r="S24" s="38">
        <f t="shared" si="7"/>
        <v>0</v>
      </c>
      <c r="T24" s="39"/>
      <c r="U24" s="42">
        <f>IFERROR(__xludf.DUMMYFUNCTION("""COMPUTED_VALUE"""),0.0)</f>
        <v>0</v>
      </c>
      <c r="V24" s="136"/>
      <c r="W24" s="24"/>
    </row>
    <row r="25" ht="37.5" customHeight="1">
      <c r="A25" s="24"/>
      <c r="B25" s="25">
        <v>17.0</v>
      </c>
      <c r="C25" s="49"/>
      <c r="D25" s="50"/>
      <c r="E25" s="51"/>
      <c r="F25" s="52">
        <f>IFERROR(__xludf.DUMMYFUNCTION("""COMPUTED_VALUE"""),0.0)</f>
        <v>0</v>
      </c>
      <c r="G25" s="45"/>
      <c r="H25" s="31">
        <f t="shared" si="1"/>
        <v>0</v>
      </c>
      <c r="I25" s="31">
        <f t="shared" si="2"/>
        <v>0</v>
      </c>
      <c r="J25" s="32" t="str">
        <f t="shared" ref="J25:J30" si="8">IF(E25="SHIFT 2",I25,"")</f>
        <v/>
      </c>
      <c r="K25" s="32"/>
      <c r="L25" s="33">
        <f t="shared" si="4"/>
        <v>0</v>
      </c>
      <c r="M25" s="32"/>
      <c r="N25" s="32"/>
      <c r="O25" s="34">
        <f t="shared" si="5"/>
        <v>0</v>
      </c>
      <c r="P25" s="44"/>
      <c r="Q25" s="44"/>
      <c r="R25" s="37">
        <f t="shared" si="6"/>
        <v>0</v>
      </c>
      <c r="S25" s="38">
        <f t="shared" si="7"/>
        <v>0</v>
      </c>
      <c r="T25" s="39"/>
      <c r="U25" s="42">
        <f>IFERROR(__xludf.DUMMYFUNCTION("""COMPUTED_VALUE"""),0.0)</f>
        <v>0</v>
      </c>
      <c r="V25" s="136"/>
      <c r="W25" s="24"/>
    </row>
    <row r="26" ht="37.5" customHeight="1">
      <c r="A26" s="24"/>
      <c r="B26" s="25">
        <v>18.0</v>
      </c>
      <c r="C26" s="49"/>
      <c r="D26" s="51"/>
      <c r="E26" s="51"/>
      <c r="F26" s="42">
        <f>IFERROR(__xludf.DUMMYFUNCTION("""COMPUTED_VALUE"""),0.0)</f>
        <v>0</v>
      </c>
      <c r="G26" s="53"/>
      <c r="H26" s="31">
        <f t="shared" si="1"/>
        <v>0</v>
      </c>
      <c r="I26" s="31">
        <f t="shared" si="2"/>
        <v>0</v>
      </c>
      <c r="J26" s="32" t="str">
        <f t="shared" si="8"/>
        <v/>
      </c>
      <c r="K26" s="32"/>
      <c r="L26" s="33">
        <f t="shared" si="4"/>
        <v>0</v>
      </c>
      <c r="M26" s="32"/>
      <c r="N26" s="32"/>
      <c r="O26" s="34">
        <f t="shared" si="5"/>
        <v>0</v>
      </c>
      <c r="P26" s="44"/>
      <c r="Q26" s="44"/>
      <c r="R26" s="37">
        <f t="shared" si="6"/>
        <v>0</v>
      </c>
      <c r="S26" s="38">
        <f t="shared" si="7"/>
        <v>0</v>
      </c>
      <c r="T26" s="51"/>
      <c r="U26" s="42">
        <f>IFERROR(__xludf.DUMMYFUNCTION("""COMPUTED_VALUE"""),0.0)</f>
        <v>0</v>
      </c>
      <c r="V26" s="136"/>
      <c r="W26" s="24"/>
    </row>
    <row r="27" ht="37.5" customHeight="1">
      <c r="A27" s="24"/>
      <c r="B27" s="25">
        <v>19.0</v>
      </c>
      <c r="C27" s="49"/>
      <c r="D27" s="51"/>
      <c r="E27" s="51"/>
      <c r="F27" s="42">
        <f>IFERROR(__xludf.DUMMYFUNCTION("""COMPUTED_VALUE"""),0.0)</f>
        <v>0</v>
      </c>
      <c r="G27" s="53"/>
      <c r="H27" s="31">
        <f t="shared" si="1"/>
        <v>0</v>
      </c>
      <c r="I27" s="31">
        <f t="shared" si="2"/>
        <v>0</v>
      </c>
      <c r="J27" s="32" t="str">
        <f t="shared" si="8"/>
        <v/>
      </c>
      <c r="K27" s="32"/>
      <c r="L27" s="33">
        <f t="shared" si="4"/>
        <v>0</v>
      </c>
      <c r="M27" s="32"/>
      <c r="N27" s="32"/>
      <c r="O27" s="34">
        <f t="shared" si="5"/>
        <v>0</v>
      </c>
      <c r="P27" s="44"/>
      <c r="Q27" s="44"/>
      <c r="R27" s="37">
        <f t="shared" si="6"/>
        <v>0</v>
      </c>
      <c r="S27" s="38">
        <f t="shared" si="7"/>
        <v>0</v>
      </c>
      <c r="T27" s="51"/>
      <c r="U27" s="42">
        <f>IFERROR(__xludf.DUMMYFUNCTION("""COMPUTED_VALUE"""),0.0)</f>
        <v>0</v>
      </c>
      <c r="V27" s="24"/>
      <c r="W27" s="24"/>
    </row>
    <row r="28" ht="37.5" customHeight="1">
      <c r="A28" s="24"/>
      <c r="B28" s="25">
        <v>20.0</v>
      </c>
      <c r="C28" s="49"/>
      <c r="D28" s="51"/>
      <c r="E28" s="51"/>
      <c r="F28" s="42"/>
      <c r="G28" s="53"/>
      <c r="H28" s="31">
        <f t="shared" si="1"/>
        <v>0</v>
      </c>
      <c r="I28" s="31">
        <f t="shared" si="2"/>
        <v>0</v>
      </c>
      <c r="J28" s="32" t="str">
        <f t="shared" si="8"/>
        <v/>
      </c>
      <c r="K28" s="32"/>
      <c r="L28" s="33">
        <f t="shared" si="4"/>
        <v>0</v>
      </c>
      <c r="M28" s="32"/>
      <c r="N28" s="32"/>
      <c r="O28" s="34">
        <f t="shared" si="5"/>
        <v>0</v>
      </c>
      <c r="P28" s="44"/>
      <c r="Q28" s="44"/>
      <c r="R28" s="37">
        <f t="shared" si="6"/>
        <v>0</v>
      </c>
      <c r="S28" s="38">
        <f t="shared" si="7"/>
        <v>0</v>
      </c>
      <c r="T28" s="51"/>
      <c r="U28" s="42"/>
      <c r="V28" s="24"/>
      <c r="W28" s="24"/>
    </row>
    <row r="29" ht="37.5" customHeight="1">
      <c r="A29" s="24"/>
      <c r="B29" s="25">
        <v>21.0</v>
      </c>
      <c r="C29" s="49"/>
      <c r="D29" s="51"/>
      <c r="E29" s="51"/>
      <c r="F29" s="42"/>
      <c r="G29" s="53"/>
      <c r="H29" s="31">
        <f t="shared" si="1"/>
        <v>0</v>
      </c>
      <c r="I29" s="31">
        <f t="shared" si="2"/>
        <v>0</v>
      </c>
      <c r="J29" s="32" t="str">
        <f t="shared" si="8"/>
        <v/>
      </c>
      <c r="K29" s="32"/>
      <c r="L29" s="33">
        <f t="shared" si="4"/>
        <v>0</v>
      </c>
      <c r="M29" s="32"/>
      <c r="N29" s="32"/>
      <c r="O29" s="34">
        <f t="shared" si="5"/>
        <v>0</v>
      </c>
      <c r="P29" s="44"/>
      <c r="Q29" s="44"/>
      <c r="R29" s="37">
        <f t="shared" si="6"/>
        <v>0</v>
      </c>
      <c r="S29" s="38">
        <f t="shared" si="7"/>
        <v>0</v>
      </c>
      <c r="T29" s="51"/>
      <c r="U29" s="42"/>
      <c r="V29" s="24"/>
      <c r="W29" s="24"/>
    </row>
    <row r="30" ht="37.5" customHeight="1">
      <c r="A30" s="24"/>
      <c r="B30" s="25">
        <v>22.0</v>
      </c>
      <c r="C30" s="49"/>
      <c r="D30" s="51"/>
      <c r="E30" s="51"/>
      <c r="F30" s="42"/>
      <c r="G30" s="53"/>
      <c r="H30" s="31">
        <f t="shared" si="1"/>
        <v>0</v>
      </c>
      <c r="I30" s="31">
        <f t="shared" si="2"/>
        <v>0</v>
      </c>
      <c r="J30" s="32" t="str">
        <f t="shared" si="8"/>
        <v/>
      </c>
      <c r="K30" s="32"/>
      <c r="L30" s="33">
        <f t="shared" si="4"/>
        <v>0</v>
      </c>
      <c r="M30" s="32"/>
      <c r="N30" s="32"/>
      <c r="O30" s="34">
        <f t="shared" si="5"/>
        <v>0</v>
      </c>
      <c r="P30" s="44"/>
      <c r="Q30" s="44"/>
      <c r="R30" s="37">
        <f t="shared" si="6"/>
        <v>0</v>
      </c>
      <c r="S30" s="38">
        <f t="shared" si="7"/>
        <v>0</v>
      </c>
      <c r="T30" s="51"/>
      <c r="U30" s="42"/>
      <c r="V30" s="24"/>
      <c r="W30" s="24"/>
    </row>
    <row r="31" ht="37.5" customHeight="1">
      <c r="B31" s="54"/>
      <c r="F31" s="55" t="s">
        <v>21</v>
      </c>
      <c r="S31" s="56">
        <f>SUM(S9:S30)</f>
        <v>0</v>
      </c>
      <c r="T31" s="57"/>
      <c r="U31" s="58"/>
    </row>
    <row r="32" ht="37.5" customHeight="1">
      <c r="B32" s="59"/>
      <c r="C32" s="59"/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ht="37.5" customHeight="1">
      <c r="A33" s="24"/>
      <c r="B33" s="21" t="str">
        <f>IFERROR(__xludf.DUMMYFUNCTION("IMPORTRANGE(""https://docs.google.com/spreadsheets/d/17TnzcKnlaqlAyM_3lnNpgK5CAOPbscCCRVH50X8UulY/edit?usp=sharing"",""DESEMBER!B28"")"),"TANGGAL :  7-12 DESEMBER 2026")</f>
        <v>TANGGAL :  7-12 DESEMBER 2026</v>
      </c>
      <c r="F33" s="22"/>
      <c r="G33" s="22"/>
      <c r="H33" s="22"/>
      <c r="I33" s="22"/>
      <c r="J33" s="22"/>
      <c r="K33" s="22"/>
      <c r="L33" s="23">
        <v>15000.0</v>
      </c>
      <c r="M33" s="22"/>
      <c r="N33" s="22"/>
      <c r="O33" s="22"/>
      <c r="P33" s="22"/>
      <c r="Q33" s="22"/>
      <c r="R33" s="22"/>
      <c r="S33" s="22"/>
      <c r="T33" s="22"/>
      <c r="U33" s="22"/>
      <c r="V33" s="24"/>
      <c r="W33" s="24"/>
    </row>
    <row r="34" ht="37.5" customHeight="1">
      <c r="A34" s="24"/>
      <c r="B34" s="25">
        <v>1.0</v>
      </c>
      <c r="C34" s="25" t="str">
        <f>IFERROR(__xludf.DUMMYFUNCTION("IMPORTRANGE(""https://docs.google.com/spreadsheets/d/17TnzcKnlaqlAyM_3lnNpgK5CAOPbscCCRVH50X8UulY/edit?usp=sharing"",""DESEMBER!B29:D47"")"),"EPUL")</f>
        <v>EPUL</v>
      </c>
      <c r="D34" s="146" t="str">
        <f>IFERROR(__xludf.DUMMYFUNCTION("""COMPUTED_VALUE"""),"KEPALA")</f>
        <v>KEPALA</v>
      </c>
      <c r="E34" s="51"/>
      <c r="F34" s="52">
        <f>IFERROR(__xludf.DUMMYFUNCTION("IMPORTRANGE(""https://docs.google.com/spreadsheets/d/17TnzcKnlaqlAyM_3lnNpgK5CAOPbscCCRVH50X8UulY/edit?usp=sharing"",""DESEMBER!K29:K47"")"),0.0)</f>
        <v>0</v>
      </c>
      <c r="G34" s="30">
        <v>110000.0</v>
      </c>
      <c r="H34" s="31">
        <f t="shared" ref="H34:H55" si="9">F34*G34</f>
        <v>0</v>
      </c>
      <c r="I34" s="31">
        <f t="shared" ref="I34:I55" si="10">F34*10000</f>
        <v>0</v>
      </c>
      <c r="J34" s="32" t="str">
        <f t="shared" ref="J34:J55" si="11">IF(E34="SHIFT 2",I34,"")</f>
        <v/>
      </c>
      <c r="K34" s="32"/>
      <c r="L34" s="33">
        <f t="shared" ref="L34:L55" si="12">U34*$L$33</f>
        <v>0</v>
      </c>
      <c r="M34" s="32"/>
      <c r="N34" s="32"/>
      <c r="O34" s="34">
        <f t="shared" ref="O34:O55" si="13">SUM(H34:N34)</f>
        <v>0</v>
      </c>
      <c r="P34" s="44"/>
      <c r="Q34" s="44"/>
      <c r="R34" s="37">
        <f t="shared" ref="R34:R55" si="14">SUM(P34:Q34)</f>
        <v>0</v>
      </c>
      <c r="S34" s="38">
        <f t="shared" ref="S34:S55" si="15">O34-R34</f>
        <v>0</v>
      </c>
      <c r="T34" s="39" t="str">
        <f>IFERROR(__xludf.DUMMYFUNCTION("IMPORTRANGE(""https://docs.google.com/spreadsheets/d/17TnzcKnlaqlAyM_3lnNpgK5CAOPbscCCRVH50X8UulY/edit?usp=sharing"",""DESEMBER!L29:L47"")"),"")</f>
        <v/>
      </c>
      <c r="U34" s="42">
        <f>IFERROR(__xludf.DUMMYFUNCTION("IMPORTRANGE(""https://docs.google.com/spreadsheets/d/17TnzcKnlaqlAyM_3lnNpgK5CAOPbscCCRVH50X8UulY/edit?usp=sharing"",""DESEMBER!U29:U47"")"),0.0)</f>
        <v>0</v>
      </c>
      <c r="V34" s="24"/>
      <c r="W34" s="24"/>
    </row>
    <row r="35" ht="37.5" customHeight="1">
      <c r="A35" s="24"/>
      <c r="B35" s="25">
        <v>2.0</v>
      </c>
      <c r="C35" s="25" t="str">
        <f>IFERROR(__xludf.DUMMYFUNCTION("""COMPUTED_VALUE"""),"HISMI")</f>
        <v>HISMI</v>
      </c>
      <c r="D35" s="146" t="str">
        <f>IFERROR(__xludf.DUMMYFUNCTION("""COMPUTED_VALUE"""),"ADMIN")</f>
        <v>ADMIN</v>
      </c>
      <c r="E35" s="51"/>
      <c r="F35" s="52">
        <f>IFERROR(__xludf.DUMMYFUNCTION("""COMPUTED_VALUE"""),0.0)</f>
        <v>0</v>
      </c>
      <c r="G35" s="30">
        <v>70000.0</v>
      </c>
      <c r="H35" s="31">
        <f t="shared" si="9"/>
        <v>0</v>
      </c>
      <c r="I35" s="31">
        <f t="shared" si="10"/>
        <v>0</v>
      </c>
      <c r="J35" s="32" t="str">
        <f t="shared" si="11"/>
        <v/>
      </c>
      <c r="K35" s="41"/>
      <c r="L35" s="33">
        <f t="shared" si="12"/>
        <v>0</v>
      </c>
      <c r="M35" s="41"/>
      <c r="N35" s="41"/>
      <c r="O35" s="34">
        <f t="shared" si="13"/>
        <v>0</v>
      </c>
      <c r="P35" s="44"/>
      <c r="Q35" s="44"/>
      <c r="R35" s="37">
        <f t="shared" si="14"/>
        <v>0</v>
      </c>
      <c r="S35" s="38">
        <f t="shared" si="15"/>
        <v>0</v>
      </c>
      <c r="T35" s="39"/>
      <c r="U35" s="42">
        <f>IFERROR(__xludf.DUMMYFUNCTION("""COMPUTED_VALUE"""),0.0)</f>
        <v>0</v>
      </c>
      <c r="V35" s="24"/>
      <c r="W35" s="24"/>
    </row>
    <row r="36" ht="37.5" customHeight="1">
      <c r="A36" s="24"/>
      <c r="B36" s="25">
        <v>3.0</v>
      </c>
      <c r="C36" s="25"/>
      <c r="D36" s="146" t="str">
        <f>IFERROR(__xludf.DUMMYFUNCTION("""COMPUTED_VALUE"""),"ADMIN")</f>
        <v>ADMIN</v>
      </c>
      <c r="E36" s="51"/>
      <c r="F36" s="52">
        <f>IFERROR(__xludf.DUMMYFUNCTION("""COMPUTED_VALUE"""),0.0)</f>
        <v>0</v>
      </c>
      <c r="G36" s="30">
        <v>70000.0</v>
      </c>
      <c r="H36" s="31">
        <f t="shared" si="9"/>
        <v>0</v>
      </c>
      <c r="I36" s="31">
        <f t="shared" si="10"/>
        <v>0</v>
      </c>
      <c r="J36" s="32" t="str">
        <f t="shared" si="11"/>
        <v/>
      </c>
      <c r="K36" s="41"/>
      <c r="L36" s="33">
        <f t="shared" si="12"/>
        <v>0</v>
      </c>
      <c r="M36" s="150"/>
      <c r="N36" s="150"/>
      <c r="O36" s="34">
        <f t="shared" si="13"/>
        <v>0</v>
      </c>
      <c r="P36" s="44"/>
      <c r="Q36" s="44"/>
      <c r="R36" s="37">
        <f t="shared" si="14"/>
        <v>0</v>
      </c>
      <c r="S36" s="38">
        <f t="shared" si="15"/>
        <v>0</v>
      </c>
      <c r="T36" s="39"/>
      <c r="U36" s="42">
        <f>IFERROR(__xludf.DUMMYFUNCTION("""COMPUTED_VALUE"""),0.0)</f>
        <v>0</v>
      </c>
      <c r="V36" s="24"/>
      <c r="W36" s="24"/>
    </row>
    <row r="37" ht="37.5" customHeight="1">
      <c r="A37" s="24"/>
      <c r="B37" s="25">
        <v>4.0</v>
      </c>
      <c r="C37" s="25" t="str">
        <f>IFERROR(__xludf.DUMMYFUNCTION("""COMPUTED_VALUE"""),"ANDRI")</f>
        <v>ANDRI</v>
      </c>
      <c r="D37" s="146" t="str">
        <f>IFERROR(__xludf.DUMMYFUNCTION("""COMPUTED_VALUE"""),"DESIGN BORDIR")</f>
        <v>DESIGN BORDIR</v>
      </c>
      <c r="E37" s="51"/>
      <c r="F37" s="52">
        <f>IFERROR(__xludf.DUMMYFUNCTION("""COMPUTED_VALUE"""),0.0)</f>
        <v>0</v>
      </c>
      <c r="G37" s="30">
        <v>70000.0</v>
      </c>
      <c r="H37" s="31">
        <f t="shared" si="9"/>
        <v>0</v>
      </c>
      <c r="I37" s="31">
        <f t="shared" si="10"/>
        <v>0</v>
      </c>
      <c r="J37" s="32" t="str">
        <f t="shared" si="11"/>
        <v/>
      </c>
      <c r="K37" s="32"/>
      <c r="L37" s="33">
        <f t="shared" si="12"/>
        <v>0</v>
      </c>
      <c r="M37" s="32"/>
      <c r="N37" s="32"/>
      <c r="O37" s="34">
        <f t="shared" si="13"/>
        <v>0</v>
      </c>
      <c r="P37" s="44"/>
      <c r="Q37" s="44"/>
      <c r="R37" s="37">
        <f t="shared" si="14"/>
        <v>0</v>
      </c>
      <c r="S37" s="38">
        <f t="shared" si="15"/>
        <v>0</v>
      </c>
      <c r="T37" s="39"/>
      <c r="U37" s="42">
        <f>IFERROR(__xludf.DUMMYFUNCTION("""COMPUTED_VALUE"""),0.0)</f>
        <v>0</v>
      </c>
      <c r="V37" s="24"/>
      <c r="W37" s="24"/>
    </row>
    <row r="38" ht="37.5" customHeight="1">
      <c r="A38" s="24"/>
      <c r="B38" s="25">
        <v>5.0</v>
      </c>
      <c r="C38" s="25" t="str">
        <f>IFERROR(__xludf.DUMMYFUNCTION("""COMPUTED_VALUE"""),"ADIT")</f>
        <v>ADIT</v>
      </c>
      <c r="D38" s="146" t="str">
        <f>IFERROR(__xludf.DUMMYFUNCTION("""COMPUTED_VALUE"""),"CREATOR")</f>
        <v>CREATOR</v>
      </c>
      <c r="E38" s="51"/>
      <c r="F38" s="52">
        <f>IFERROR(__xludf.DUMMYFUNCTION("""COMPUTED_VALUE"""),0.0)</f>
        <v>0</v>
      </c>
      <c r="G38" s="30">
        <v>50000.0</v>
      </c>
      <c r="H38" s="31">
        <f t="shared" si="9"/>
        <v>0</v>
      </c>
      <c r="I38" s="31">
        <f t="shared" si="10"/>
        <v>0</v>
      </c>
      <c r="J38" s="32" t="str">
        <f t="shared" si="11"/>
        <v/>
      </c>
      <c r="K38" s="32"/>
      <c r="L38" s="33">
        <f t="shared" si="12"/>
        <v>0</v>
      </c>
      <c r="M38" s="32"/>
      <c r="N38" s="32"/>
      <c r="O38" s="34">
        <f t="shared" si="13"/>
        <v>0</v>
      </c>
      <c r="P38" s="44"/>
      <c r="Q38" s="44"/>
      <c r="R38" s="37">
        <f t="shared" si="14"/>
        <v>0</v>
      </c>
      <c r="S38" s="38">
        <f t="shared" si="15"/>
        <v>0</v>
      </c>
      <c r="T38" s="39"/>
      <c r="U38" s="42">
        <f>IFERROR(__xludf.DUMMYFUNCTION("""COMPUTED_VALUE"""),0.0)</f>
        <v>0</v>
      </c>
      <c r="V38" s="24"/>
      <c r="W38" s="24"/>
    </row>
    <row r="39" ht="37.5" customHeight="1">
      <c r="A39" s="24"/>
      <c r="B39" s="25">
        <v>6.0</v>
      </c>
      <c r="C39" s="25" t="str">
        <f>IFERROR(__xludf.DUMMYFUNCTION("""COMPUTED_VALUE"""),"WILI")</f>
        <v>WILI</v>
      </c>
      <c r="D39" s="146" t="str">
        <f>IFERROR(__xludf.DUMMYFUNCTION("""COMPUTED_VALUE"""),"OP MESIN")</f>
        <v>OP MESIN</v>
      </c>
      <c r="E39" s="51"/>
      <c r="F39" s="52">
        <f>IFERROR(__xludf.DUMMYFUNCTION("""COMPUTED_VALUE"""),0.0)</f>
        <v>0</v>
      </c>
      <c r="G39" s="30">
        <v>70000.0</v>
      </c>
      <c r="H39" s="31">
        <f t="shared" si="9"/>
        <v>0</v>
      </c>
      <c r="I39" s="31">
        <f t="shared" si="10"/>
        <v>0</v>
      </c>
      <c r="J39" s="32" t="str">
        <f t="shared" si="11"/>
        <v/>
      </c>
      <c r="K39" s="32"/>
      <c r="L39" s="33">
        <f t="shared" si="12"/>
        <v>0</v>
      </c>
      <c r="M39" s="32"/>
      <c r="N39" s="32"/>
      <c r="O39" s="34">
        <f t="shared" si="13"/>
        <v>0</v>
      </c>
      <c r="P39" s="44"/>
      <c r="Q39" s="44"/>
      <c r="R39" s="37">
        <f t="shared" si="14"/>
        <v>0</v>
      </c>
      <c r="S39" s="38">
        <f t="shared" si="15"/>
        <v>0</v>
      </c>
      <c r="T39" s="39"/>
      <c r="U39" s="42">
        <f>IFERROR(__xludf.DUMMYFUNCTION("""COMPUTED_VALUE"""),0.0)</f>
        <v>0</v>
      </c>
      <c r="V39" s="24"/>
      <c r="W39" s="24"/>
    </row>
    <row r="40" ht="37.5" customHeight="1">
      <c r="A40" s="24"/>
      <c r="B40" s="25">
        <v>7.0</v>
      </c>
      <c r="C40" s="25" t="str">
        <f>IFERROR(__xludf.DUMMYFUNCTION("""COMPUTED_VALUE"""),"OGA")</f>
        <v>OGA</v>
      </c>
      <c r="D40" s="146" t="str">
        <f>IFERROR(__xludf.DUMMYFUNCTION("""COMPUTED_VALUE"""),"OP MESIN")</f>
        <v>OP MESIN</v>
      </c>
      <c r="E40" s="51"/>
      <c r="F40" s="52">
        <f>IFERROR(__xludf.DUMMYFUNCTION("""COMPUTED_VALUE"""),0.0)</f>
        <v>0</v>
      </c>
      <c r="G40" s="30">
        <v>70000.0</v>
      </c>
      <c r="H40" s="31">
        <f t="shared" si="9"/>
        <v>0</v>
      </c>
      <c r="I40" s="31">
        <f t="shared" si="10"/>
        <v>0</v>
      </c>
      <c r="J40" s="32" t="str">
        <f t="shared" si="11"/>
        <v/>
      </c>
      <c r="K40" s="32"/>
      <c r="L40" s="33">
        <f t="shared" si="12"/>
        <v>0</v>
      </c>
      <c r="M40" s="32"/>
      <c r="N40" s="32"/>
      <c r="O40" s="34">
        <f t="shared" si="13"/>
        <v>0</v>
      </c>
      <c r="P40" s="44"/>
      <c r="Q40" s="44"/>
      <c r="R40" s="37">
        <f t="shared" si="14"/>
        <v>0</v>
      </c>
      <c r="S40" s="38">
        <f t="shared" si="15"/>
        <v>0</v>
      </c>
      <c r="T40" s="39"/>
      <c r="U40" s="42">
        <f>IFERROR(__xludf.DUMMYFUNCTION("""COMPUTED_VALUE"""),0.0)</f>
        <v>0</v>
      </c>
      <c r="V40" s="24"/>
      <c r="W40" s="24"/>
    </row>
    <row r="41" ht="37.5" customHeight="1">
      <c r="A41" s="24"/>
      <c r="B41" s="25">
        <v>8.0</v>
      </c>
      <c r="C41" s="25" t="str">
        <f>IFERROR(__xludf.DUMMYFUNCTION("""COMPUTED_VALUE"""),"ASEP")</f>
        <v>ASEP</v>
      </c>
      <c r="D41" s="146" t="str">
        <f>IFERROR(__xludf.DUMMYFUNCTION("""COMPUTED_VALUE"""),"OP MESIN")</f>
        <v>OP MESIN</v>
      </c>
      <c r="E41" s="42"/>
      <c r="F41" s="52">
        <f>IFERROR(__xludf.DUMMYFUNCTION("""COMPUTED_VALUE"""),0.0)</f>
        <v>0</v>
      </c>
      <c r="G41" s="30">
        <v>50000.0</v>
      </c>
      <c r="H41" s="31">
        <f t="shared" si="9"/>
        <v>0</v>
      </c>
      <c r="I41" s="31">
        <f t="shared" si="10"/>
        <v>0</v>
      </c>
      <c r="J41" s="32" t="str">
        <f t="shared" si="11"/>
        <v/>
      </c>
      <c r="K41" s="32"/>
      <c r="L41" s="33">
        <f t="shared" si="12"/>
        <v>0</v>
      </c>
      <c r="M41" s="32"/>
      <c r="N41" s="32"/>
      <c r="O41" s="34">
        <f t="shared" si="13"/>
        <v>0</v>
      </c>
      <c r="P41" s="44"/>
      <c r="Q41" s="44"/>
      <c r="R41" s="37">
        <f t="shared" si="14"/>
        <v>0</v>
      </c>
      <c r="S41" s="38">
        <f t="shared" si="15"/>
        <v>0</v>
      </c>
      <c r="T41" s="39"/>
      <c r="U41" s="42">
        <f>IFERROR(__xludf.DUMMYFUNCTION("""COMPUTED_VALUE"""),0.0)</f>
        <v>0</v>
      </c>
      <c r="V41" s="24"/>
      <c r="W41" s="24"/>
    </row>
    <row r="42" ht="37.5" customHeight="1">
      <c r="A42" s="24"/>
      <c r="B42" s="25">
        <v>9.0</v>
      </c>
      <c r="C42" s="25" t="str">
        <f>IFERROR(__xludf.DUMMYFUNCTION("""COMPUTED_VALUE"""),"HIFNI")</f>
        <v>HIFNI</v>
      </c>
      <c r="D42" s="146" t="str">
        <f>IFERROR(__xludf.DUMMYFUNCTION("""COMPUTED_VALUE"""),"OP MESIN")</f>
        <v>OP MESIN</v>
      </c>
      <c r="E42" s="42"/>
      <c r="F42" s="52">
        <f>IFERROR(__xludf.DUMMYFUNCTION("""COMPUTED_VALUE"""),0.0)</f>
        <v>0</v>
      </c>
      <c r="G42" s="30">
        <v>50000.0</v>
      </c>
      <c r="H42" s="31">
        <f t="shared" si="9"/>
        <v>0</v>
      </c>
      <c r="I42" s="31">
        <f t="shared" si="10"/>
        <v>0</v>
      </c>
      <c r="J42" s="32" t="str">
        <f t="shared" si="11"/>
        <v/>
      </c>
      <c r="K42" s="32"/>
      <c r="L42" s="33">
        <f t="shared" si="12"/>
        <v>0</v>
      </c>
      <c r="M42" s="32"/>
      <c r="N42" s="32"/>
      <c r="O42" s="34">
        <f t="shared" si="13"/>
        <v>0</v>
      </c>
      <c r="P42" s="44"/>
      <c r="Q42" s="44"/>
      <c r="R42" s="37">
        <f t="shared" si="14"/>
        <v>0</v>
      </c>
      <c r="S42" s="38">
        <f t="shared" si="15"/>
        <v>0</v>
      </c>
      <c r="T42" s="39"/>
      <c r="U42" s="42">
        <f>IFERROR(__xludf.DUMMYFUNCTION("""COMPUTED_VALUE"""),0.0)</f>
        <v>0</v>
      </c>
      <c r="V42" s="24"/>
      <c r="W42" s="24"/>
    </row>
    <row r="43" ht="37.5" customHeight="1">
      <c r="A43" s="24"/>
      <c r="B43" s="25">
        <v>10.0</v>
      </c>
      <c r="C43" s="25" t="str">
        <f>IFERROR(__xludf.DUMMYFUNCTION("""COMPUTED_VALUE"""),"IIS")</f>
        <v>IIS</v>
      </c>
      <c r="D43" s="146" t="str">
        <f>IFERROR(__xludf.DUMMYFUNCTION("""COMPUTED_VALUE"""),"PACKING")</f>
        <v>PACKING</v>
      </c>
      <c r="E43" s="42"/>
      <c r="F43" s="52">
        <f>IFERROR(__xludf.DUMMYFUNCTION("""COMPUTED_VALUE"""),0.0)</f>
        <v>0</v>
      </c>
      <c r="G43" s="45"/>
      <c r="H43" s="31">
        <f t="shared" si="9"/>
        <v>0</v>
      </c>
      <c r="I43" s="31">
        <f t="shared" si="10"/>
        <v>0</v>
      </c>
      <c r="J43" s="32" t="str">
        <f t="shared" si="11"/>
        <v/>
      </c>
      <c r="K43" s="32"/>
      <c r="L43" s="33">
        <f t="shared" si="12"/>
        <v>0</v>
      </c>
      <c r="M43" s="32"/>
      <c r="N43" s="32"/>
      <c r="O43" s="34">
        <f t="shared" si="13"/>
        <v>0</v>
      </c>
      <c r="P43" s="44"/>
      <c r="Q43" s="44"/>
      <c r="R43" s="37">
        <f t="shared" si="14"/>
        <v>0</v>
      </c>
      <c r="S43" s="38">
        <f t="shared" si="15"/>
        <v>0</v>
      </c>
      <c r="T43" s="39"/>
      <c r="U43" s="42">
        <f>IFERROR(__xludf.DUMMYFUNCTION("""COMPUTED_VALUE"""),0.0)</f>
        <v>0</v>
      </c>
      <c r="V43" s="24"/>
      <c r="W43" s="24"/>
    </row>
    <row r="44" ht="37.5" customHeight="1">
      <c r="A44" s="24"/>
      <c r="B44" s="25">
        <v>11.0</v>
      </c>
      <c r="C44" s="25"/>
      <c r="D44" s="146"/>
      <c r="E44" s="42"/>
      <c r="F44" s="52">
        <f>IFERROR(__xludf.DUMMYFUNCTION("""COMPUTED_VALUE"""),0.0)</f>
        <v>0</v>
      </c>
      <c r="G44" s="45"/>
      <c r="H44" s="31">
        <f t="shared" si="9"/>
        <v>0</v>
      </c>
      <c r="I44" s="31">
        <f t="shared" si="10"/>
        <v>0</v>
      </c>
      <c r="J44" s="32" t="str">
        <f t="shared" si="11"/>
        <v/>
      </c>
      <c r="K44" s="32"/>
      <c r="L44" s="33">
        <f t="shared" si="12"/>
        <v>0</v>
      </c>
      <c r="M44" s="32"/>
      <c r="N44" s="32"/>
      <c r="O44" s="34">
        <f t="shared" si="13"/>
        <v>0</v>
      </c>
      <c r="P44" s="44"/>
      <c r="Q44" s="44"/>
      <c r="R44" s="37">
        <f t="shared" si="14"/>
        <v>0</v>
      </c>
      <c r="S44" s="38">
        <f t="shared" si="15"/>
        <v>0</v>
      </c>
      <c r="T44" s="39"/>
      <c r="U44" s="42">
        <f>IFERROR(__xludf.DUMMYFUNCTION("""COMPUTED_VALUE"""),0.0)</f>
        <v>0</v>
      </c>
      <c r="V44" s="24"/>
      <c r="W44" s="24"/>
    </row>
    <row r="45" ht="37.5" customHeight="1">
      <c r="A45" s="24"/>
      <c r="B45" s="25">
        <v>12.0</v>
      </c>
      <c r="C45" s="25"/>
      <c r="D45" s="146"/>
      <c r="E45" s="42"/>
      <c r="F45" s="52">
        <f>IFERROR(__xludf.DUMMYFUNCTION("""COMPUTED_VALUE"""),0.0)</f>
        <v>0</v>
      </c>
      <c r="G45" s="45"/>
      <c r="H45" s="31">
        <f t="shared" si="9"/>
        <v>0</v>
      </c>
      <c r="I45" s="31">
        <f t="shared" si="10"/>
        <v>0</v>
      </c>
      <c r="J45" s="32" t="str">
        <f t="shared" si="11"/>
        <v/>
      </c>
      <c r="K45" s="32"/>
      <c r="L45" s="33">
        <f t="shared" si="12"/>
        <v>0</v>
      </c>
      <c r="M45" s="32"/>
      <c r="N45" s="32"/>
      <c r="O45" s="34">
        <f t="shared" si="13"/>
        <v>0</v>
      </c>
      <c r="P45" s="44"/>
      <c r="Q45" s="44"/>
      <c r="R45" s="37">
        <f t="shared" si="14"/>
        <v>0</v>
      </c>
      <c r="S45" s="38">
        <f t="shared" si="15"/>
        <v>0</v>
      </c>
      <c r="T45" s="39"/>
      <c r="U45" s="42">
        <f>IFERROR(__xludf.DUMMYFUNCTION("""COMPUTED_VALUE"""),0.0)</f>
        <v>0</v>
      </c>
      <c r="V45" s="24"/>
      <c r="W45" s="24"/>
    </row>
    <row r="46" ht="37.5" customHeight="1">
      <c r="A46" s="24"/>
      <c r="B46" s="25">
        <v>13.0</v>
      </c>
      <c r="C46" s="25"/>
      <c r="D46" s="146"/>
      <c r="E46" s="42"/>
      <c r="F46" s="52">
        <f>IFERROR(__xludf.DUMMYFUNCTION("""COMPUTED_VALUE"""),0.0)</f>
        <v>0</v>
      </c>
      <c r="G46" s="45"/>
      <c r="H46" s="31">
        <f t="shared" si="9"/>
        <v>0</v>
      </c>
      <c r="I46" s="31">
        <f t="shared" si="10"/>
        <v>0</v>
      </c>
      <c r="J46" s="32" t="str">
        <f t="shared" si="11"/>
        <v/>
      </c>
      <c r="K46" s="32"/>
      <c r="L46" s="33">
        <f t="shared" si="12"/>
        <v>0</v>
      </c>
      <c r="M46" s="32"/>
      <c r="N46" s="32"/>
      <c r="O46" s="34">
        <f t="shared" si="13"/>
        <v>0</v>
      </c>
      <c r="P46" s="44"/>
      <c r="Q46" s="44"/>
      <c r="R46" s="37">
        <f t="shared" si="14"/>
        <v>0</v>
      </c>
      <c r="S46" s="38">
        <f t="shared" si="15"/>
        <v>0</v>
      </c>
      <c r="T46" s="39"/>
      <c r="U46" s="42">
        <f>IFERROR(__xludf.DUMMYFUNCTION("""COMPUTED_VALUE"""),0.0)</f>
        <v>0</v>
      </c>
      <c r="V46" s="24"/>
      <c r="W46" s="24"/>
    </row>
    <row r="47" ht="37.5" customHeight="1">
      <c r="A47" s="24"/>
      <c r="B47" s="25">
        <v>14.0</v>
      </c>
      <c r="C47" s="25"/>
      <c r="D47" s="146"/>
      <c r="E47" s="42"/>
      <c r="F47" s="52">
        <f>IFERROR(__xludf.DUMMYFUNCTION("""COMPUTED_VALUE"""),0.0)</f>
        <v>0</v>
      </c>
      <c r="G47" s="45"/>
      <c r="H47" s="31">
        <f t="shared" si="9"/>
        <v>0</v>
      </c>
      <c r="I47" s="31">
        <f t="shared" si="10"/>
        <v>0</v>
      </c>
      <c r="J47" s="32" t="str">
        <f t="shared" si="11"/>
        <v/>
      </c>
      <c r="K47" s="32"/>
      <c r="L47" s="33">
        <f t="shared" si="12"/>
        <v>0</v>
      </c>
      <c r="M47" s="32"/>
      <c r="N47" s="32"/>
      <c r="O47" s="34">
        <f t="shared" si="13"/>
        <v>0</v>
      </c>
      <c r="P47" s="44"/>
      <c r="Q47" s="44"/>
      <c r="R47" s="37">
        <f t="shared" si="14"/>
        <v>0</v>
      </c>
      <c r="S47" s="38">
        <f t="shared" si="15"/>
        <v>0</v>
      </c>
      <c r="T47" s="39"/>
      <c r="U47" s="42">
        <f>IFERROR(__xludf.DUMMYFUNCTION("""COMPUTED_VALUE"""),0.0)</f>
        <v>0</v>
      </c>
      <c r="V47" s="24"/>
      <c r="W47" s="24"/>
    </row>
    <row r="48" ht="37.5" customHeight="1">
      <c r="A48" s="24"/>
      <c r="B48" s="25">
        <v>15.0</v>
      </c>
      <c r="C48" s="25"/>
      <c r="D48" s="146"/>
      <c r="E48" s="42"/>
      <c r="F48" s="52">
        <f>IFERROR(__xludf.DUMMYFUNCTION("""COMPUTED_VALUE"""),0.0)</f>
        <v>0</v>
      </c>
      <c r="G48" s="45"/>
      <c r="H48" s="31">
        <f t="shared" si="9"/>
        <v>0</v>
      </c>
      <c r="I48" s="31">
        <f t="shared" si="10"/>
        <v>0</v>
      </c>
      <c r="J48" s="32" t="str">
        <f t="shared" si="11"/>
        <v/>
      </c>
      <c r="K48" s="32"/>
      <c r="L48" s="33">
        <f t="shared" si="12"/>
        <v>0</v>
      </c>
      <c r="M48" s="32"/>
      <c r="N48" s="32"/>
      <c r="O48" s="34">
        <f t="shared" si="13"/>
        <v>0</v>
      </c>
      <c r="P48" s="44"/>
      <c r="Q48" s="44"/>
      <c r="R48" s="37">
        <f t="shared" si="14"/>
        <v>0</v>
      </c>
      <c r="S48" s="38">
        <f t="shared" si="15"/>
        <v>0</v>
      </c>
      <c r="T48" s="39"/>
      <c r="U48" s="42">
        <f>IFERROR(__xludf.DUMMYFUNCTION("""COMPUTED_VALUE"""),0.0)</f>
        <v>0</v>
      </c>
      <c r="V48" s="24"/>
      <c r="W48" s="24"/>
    </row>
    <row r="49" ht="37.5" customHeight="1">
      <c r="A49" s="24"/>
      <c r="B49" s="25">
        <v>16.0</v>
      </c>
      <c r="C49" s="25"/>
      <c r="D49" s="146"/>
      <c r="E49" s="42"/>
      <c r="F49" s="52">
        <f>IFERROR(__xludf.DUMMYFUNCTION("""COMPUTED_VALUE"""),0.0)</f>
        <v>0</v>
      </c>
      <c r="G49" s="45"/>
      <c r="H49" s="31">
        <f t="shared" si="9"/>
        <v>0</v>
      </c>
      <c r="I49" s="31">
        <f t="shared" si="10"/>
        <v>0</v>
      </c>
      <c r="J49" s="32" t="str">
        <f t="shared" si="11"/>
        <v/>
      </c>
      <c r="K49" s="32"/>
      <c r="L49" s="33">
        <f t="shared" si="12"/>
        <v>0</v>
      </c>
      <c r="M49" s="32"/>
      <c r="N49" s="32"/>
      <c r="O49" s="34">
        <f t="shared" si="13"/>
        <v>0</v>
      </c>
      <c r="P49" s="44"/>
      <c r="Q49" s="44"/>
      <c r="R49" s="37">
        <f t="shared" si="14"/>
        <v>0</v>
      </c>
      <c r="S49" s="38">
        <f t="shared" si="15"/>
        <v>0</v>
      </c>
      <c r="T49" s="39"/>
      <c r="U49" s="42">
        <f>IFERROR(__xludf.DUMMYFUNCTION("""COMPUTED_VALUE"""),0.0)</f>
        <v>0</v>
      </c>
      <c r="V49" s="24"/>
      <c r="W49" s="24"/>
    </row>
    <row r="50" ht="37.5" customHeight="1">
      <c r="A50" s="24"/>
      <c r="B50" s="25">
        <v>17.0</v>
      </c>
      <c r="C50" s="25"/>
      <c r="D50" s="146"/>
      <c r="E50" s="42"/>
      <c r="F50" s="52">
        <f>IFERROR(__xludf.DUMMYFUNCTION("""COMPUTED_VALUE"""),0.0)</f>
        <v>0</v>
      </c>
      <c r="G50" s="45"/>
      <c r="H50" s="31">
        <f t="shared" si="9"/>
        <v>0</v>
      </c>
      <c r="I50" s="31">
        <f t="shared" si="10"/>
        <v>0</v>
      </c>
      <c r="J50" s="32" t="str">
        <f t="shared" si="11"/>
        <v/>
      </c>
      <c r="K50" s="32"/>
      <c r="L50" s="33">
        <f t="shared" si="12"/>
        <v>0</v>
      </c>
      <c r="M50" s="32"/>
      <c r="N50" s="32"/>
      <c r="O50" s="34">
        <f t="shared" si="13"/>
        <v>0</v>
      </c>
      <c r="P50" s="44"/>
      <c r="Q50" s="44"/>
      <c r="R50" s="37">
        <f t="shared" si="14"/>
        <v>0</v>
      </c>
      <c r="S50" s="38">
        <f t="shared" si="15"/>
        <v>0</v>
      </c>
      <c r="T50" s="39"/>
      <c r="U50" s="42">
        <f>IFERROR(__xludf.DUMMYFUNCTION("""COMPUTED_VALUE"""),0.0)</f>
        <v>0</v>
      </c>
      <c r="V50" s="24"/>
      <c r="W50" s="24"/>
    </row>
    <row r="51" ht="37.5" customHeight="1">
      <c r="A51" s="24"/>
      <c r="B51" s="25">
        <v>18.0</v>
      </c>
      <c r="C51" s="49"/>
      <c r="D51" s="51"/>
      <c r="E51" s="51"/>
      <c r="F51" s="42">
        <f>IFERROR(__xludf.DUMMYFUNCTION("""COMPUTED_VALUE"""),0.0)</f>
        <v>0</v>
      </c>
      <c r="G51" s="53"/>
      <c r="H51" s="31">
        <f t="shared" si="9"/>
        <v>0</v>
      </c>
      <c r="I51" s="31">
        <f t="shared" si="10"/>
        <v>0</v>
      </c>
      <c r="J51" s="32" t="str">
        <f t="shared" si="11"/>
        <v/>
      </c>
      <c r="K51" s="32"/>
      <c r="L51" s="33">
        <f t="shared" si="12"/>
        <v>0</v>
      </c>
      <c r="M51" s="32"/>
      <c r="N51" s="32"/>
      <c r="O51" s="34">
        <f t="shared" si="13"/>
        <v>0</v>
      </c>
      <c r="P51" s="44"/>
      <c r="Q51" s="44"/>
      <c r="R51" s="37">
        <f t="shared" si="14"/>
        <v>0</v>
      </c>
      <c r="S51" s="38">
        <f t="shared" si="15"/>
        <v>0</v>
      </c>
      <c r="T51" s="51"/>
      <c r="U51" s="42">
        <f>IFERROR(__xludf.DUMMYFUNCTION("""COMPUTED_VALUE"""),0.0)</f>
        <v>0</v>
      </c>
      <c r="V51" s="24"/>
      <c r="W51" s="24"/>
    </row>
    <row r="52" ht="37.5" customHeight="1">
      <c r="A52" s="24"/>
      <c r="B52" s="25">
        <v>19.0</v>
      </c>
      <c r="C52" s="49"/>
      <c r="D52" s="51"/>
      <c r="E52" s="51"/>
      <c r="F52" s="42">
        <f>IFERROR(__xludf.DUMMYFUNCTION("""COMPUTED_VALUE"""),0.0)</f>
        <v>0</v>
      </c>
      <c r="G52" s="53"/>
      <c r="H52" s="31">
        <f t="shared" si="9"/>
        <v>0</v>
      </c>
      <c r="I52" s="31">
        <f t="shared" si="10"/>
        <v>0</v>
      </c>
      <c r="J52" s="32" t="str">
        <f t="shared" si="11"/>
        <v/>
      </c>
      <c r="K52" s="32"/>
      <c r="L52" s="33">
        <f t="shared" si="12"/>
        <v>0</v>
      </c>
      <c r="M52" s="32"/>
      <c r="N52" s="32"/>
      <c r="O52" s="34">
        <f t="shared" si="13"/>
        <v>0</v>
      </c>
      <c r="P52" s="44"/>
      <c r="Q52" s="44"/>
      <c r="R52" s="37">
        <f t="shared" si="14"/>
        <v>0</v>
      </c>
      <c r="S52" s="38">
        <f t="shared" si="15"/>
        <v>0</v>
      </c>
      <c r="T52" s="51"/>
      <c r="U52" s="42">
        <f>IFERROR(__xludf.DUMMYFUNCTION("""COMPUTED_VALUE"""),0.0)</f>
        <v>0</v>
      </c>
      <c r="V52" s="24"/>
      <c r="W52" s="24"/>
    </row>
    <row r="53" ht="37.5" customHeight="1">
      <c r="A53" s="24"/>
      <c r="B53" s="25">
        <v>20.0</v>
      </c>
      <c r="C53" s="49"/>
      <c r="D53" s="51"/>
      <c r="E53" s="51"/>
      <c r="F53" s="42"/>
      <c r="G53" s="53"/>
      <c r="H53" s="31">
        <f t="shared" si="9"/>
        <v>0</v>
      </c>
      <c r="I53" s="31">
        <f t="shared" si="10"/>
        <v>0</v>
      </c>
      <c r="J53" s="32" t="str">
        <f t="shared" si="11"/>
        <v/>
      </c>
      <c r="K53" s="32"/>
      <c r="L53" s="33">
        <f t="shared" si="12"/>
        <v>0</v>
      </c>
      <c r="M53" s="32"/>
      <c r="N53" s="32"/>
      <c r="O53" s="34">
        <f t="shared" si="13"/>
        <v>0</v>
      </c>
      <c r="P53" s="44"/>
      <c r="Q53" s="44"/>
      <c r="R53" s="37">
        <f t="shared" si="14"/>
        <v>0</v>
      </c>
      <c r="S53" s="38">
        <f t="shared" si="15"/>
        <v>0</v>
      </c>
      <c r="T53" s="51"/>
      <c r="U53" s="42"/>
      <c r="V53" s="24"/>
      <c r="W53" s="24"/>
    </row>
    <row r="54" ht="37.5" customHeight="1">
      <c r="B54" s="25">
        <v>21.0</v>
      </c>
      <c r="C54" s="49"/>
      <c r="D54" s="51"/>
      <c r="E54" s="51"/>
      <c r="F54" s="42"/>
      <c r="G54" s="53"/>
      <c r="H54" s="31">
        <f t="shared" si="9"/>
        <v>0</v>
      </c>
      <c r="I54" s="31">
        <f t="shared" si="10"/>
        <v>0</v>
      </c>
      <c r="J54" s="32" t="str">
        <f t="shared" si="11"/>
        <v/>
      </c>
      <c r="K54" s="32"/>
      <c r="L54" s="33">
        <f t="shared" si="12"/>
        <v>0</v>
      </c>
      <c r="M54" s="32"/>
      <c r="N54" s="32"/>
      <c r="O54" s="34">
        <f t="shared" si="13"/>
        <v>0</v>
      </c>
      <c r="P54" s="44"/>
      <c r="Q54" s="44"/>
      <c r="R54" s="37">
        <f t="shared" si="14"/>
        <v>0</v>
      </c>
      <c r="S54" s="38">
        <f t="shared" si="15"/>
        <v>0</v>
      </c>
      <c r="T54" s="51"/>
      <c r="U54" s="42"/>
    </row>
    <row r="55" ht="37.5" customHeight="1">
      <c r="B55" s="25">
        <v>22.0</v>
      </c>
      <c r="C55" s="49"/>
      <c r="D55" s="51"/>
      <c r="E55" s="51"/>
      <c r="F55" s="42"/>
      <c r="G55" s="53"/>
      <c r="H55" s="31">
        <f t="shared" si="9"/>
        <v>0</v>
      </c>
      <c r="I55" s="31">
        <f t="shared" si="10"/>
        <v>0</v>
      </c>
      <c r="J55" s="32" t="str">
        <f t="shared" si="11"/>
        <v/>
      </c>
      <c r="K55" s="32"/>
      <c r="L55" s="33">
        <f t="shared" si="12"/>
        <v>0</v>
      </c>
      <c r="M55" s="32"/>
      <c r="N55" s="32"/>
      <c r="O55" s="34">
        <f t="shared" si="13"/>
        <v>0</v>
      </c>
      <c r="P55" s="44"/>
      <c r="Q55" s="44"/>
      <c r="R55" s="37">
        <f t="shared" si="14"/>
        <v>0</v>
      </c>
      <c r="S55" s="38">
        <f t="shared" si="15"/>
        <v>0</v>
      </c>
      <c r="T55" s="51"/>
      <c r="U55" s="42"/>
    </row>
    <row r="56" ht="37.5" customHeight="1">
      <c r="B56" s="54"/>
      <c r="F56" s="55" t="s">
        <v>21</v>
      </c>
      <c r="S56" s="56">
        <f>SUM(S34:S55)</f>
        <v>0</v>
      </c>
      <c r="T56" s="57"/>
      <c r="U56" s="58"/>
    </row>
    <row r="57" ht="37.5" customHeight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</row>
    <row r="58" ht="37.5" customHeight="1">
      <c r="B58" s="21" t="str">
        <f>IFERROR(__xludf.DUMMYFUNCTION("IMPORTRANGE(""https://docs.google.com/spreadsheets/d/17TnzcKnlaqlAyM_3lnNpgK5CAOPbscCCRVH50X8UulY/edit?usp=sharing"",""DESEMBER!B50"")"),"TANGGAL :  14-19 DESEMBER 2026")</f>
        <v>TANGGAL :  14-19 DESEMBER 2026</v>
      </c>
      <c r="F58" s="22"/>
      <c r="G58" s="22"/>
      <c r="H58" s="22"/>
      <c r="I58" s="22"/>
      <c r="J58" s="22"/>
      <c r="K58" s="22"/>
      <c r="L58" s="23">
        <v>15000.0</v>
      </c>
      <c r="M58" s="22"/>
      <c r="N58" s="22"/>
      <c r="O58" s="22"/>
      <c r="P58" s="22"/>
      <c r="Q58" s="22"/>
      <c r="R58" s="22"/>
      <c r="S58" s="22"/>
      <c r="T58" s="22"/>
      <c r="U58" s="22"/>
    </row>
    <row r="59" ht="37.5" customHeight="1">
      <c r="A59" s="24"/>
      <c r="B59" s="25">
        <v>1.0</v>
      </c>
      <c r="C59" s="25" t="str">
        <f>IFERROR(__xludf.DUMMYFUNCTION("IMPORTRANGE(""https://docs.google.com/spreadsheets/d/17TnzcKnlaqlAyM_3lnNpgK5CAOPbscCCRVH50X8UulY/edit?usp=sharing"",""DESEMBER!B51:D70"")"),"EPUL")</f>
        <v>EPUL</v>
      </c>
      <c r="D59" s="146" t="str">
        <f>IFERROR(__xludf.DUMMYFUNCTION("""COMPUTED_VALUE"""),"KEPALA")</f>
        <v>KEPALA</v>
      </c>
      <c r="E59" s="51"/>
      <c r="F59" s="52">
        <f>IFERROR(__xludf.DUMMYFUNCTION("IMPORTRANGE(""https://docs.google.com/spreadsheets/d/17TnzcKnlaqlAyM_3lnNpgK5CAOPbscCCRVH50X8UulY/edit?usp=sharing"",""DESEMBER!K51:K69"")"),0.0)</f>
        <v>0</v>
      </c>
      <c r="G59" s="30">
        <v>110000.0</v>
      </c>
      <c r="H59" s="31">
        <f t="shared" ref="H59:H80" si="16">F59*G59</f>
        <v>0</v>
      </c>
      <c r="I59" s="31">
        <f t="shared" ref="I59:I80" si="17">F59*10000</f>
        <v>0</v>
      </c>
      <c r="J59" s="32" t="str">
        <f t="shared" ref="J59:J62" si="18">IF(E59="SHIFT 2",I59,"")</f>
        <v/>
      </c>
      <c r="K59" s="32"/>
      <c r="L59" s="33">
        <f t="shared" ref="L59:L80" si="19">U59*$L$58</f>
        <v>0</v>
      </c>
      <c r="M59" s="32"/>
      <c r="N59" s="32"/>
      <c r="O59" s="34">
        <f t="shared" ref="O59:O80" si="20">SUM(H59:N59)</f>
        <v>0</v>
      </c>
      <c r="P59" s="44"/>
      <c r="Q59" s="44"/>
      <c r="R59" s="37">
        <f t="shared" ref="R59:R80" si="21">SUM(P59:Q59)</f>
        <v>0</v>
      </c>
      <c r="S59" s="38">
        <f t="shared" ref="S59:S80" si="22">O59-R59</f>
        <v>0</v>
      </c>
      <c r="T59" s="39" t="str">
        <f>IFERROR(__xludf.DUMMYFUNCTION("IMPORTRANGE(""https://docs.google.com/spreadsheets/d/17TnzcKnlaqlAyM_3lnNpgK5CAOPbscCCRVH50X8UulY/edit?usp=sharing"",""DESEMBER!L51:L69"")"),"")</f>
        <v/>
      </c>
      <c r="U59" s="42">
        <f>IFERROR(__xludf.DUMMYFUNCTION("IMPORTRANGE(""https://docs.google.com/spreadsheets/d/17TnzcKnlaqlAyM_3lnNpgK5CAOPbscCCRVH50X8UulY/edit?usp=sharing"",""DESEMBER!U51:U69"")"),0.0)</f>
        <v>0</v>
      </c>
      <c r="V59" s="24"/>
      <c r="W59" s="24"/>
    </row>
    <row r="60" ht="37.5" customHeight="1">
      <c r="A60" s="24"/>
      <c r="B60" s="25">
        <v>2.0</v>
      </c>
      <c r="C60" s="25" t="str">
        <f>IFERROR(__xludf.DUMMYFUNCTION("""COMPUTED_VALUE"""),"HISMI")</f>
        <v>HISMI</v>
      </c>
      <c r="D60" s="146" t="str">
        <f>IFERROR(__xludf.DUMMYFUNCTION("""COMPUTED_VALUE"""),"ADMIN")</f>
        <v>ADMIN</v>
      </c>
      <c r="E60" s="51"/>
      <c r="F60" s="52">
        <f>IFERROR(__xludf.DUMMYFUNCTION("""COMPUTED_VALUE"""),0.0)</f>
        <v>0</v>
      </c>
      <c r="G60" s="30">
        <v>70000.0</v>
      </c>
      <c r="H60" s="31">
        <f t="shared" si="16"/>
        <v>0</v>
      </c>
      <c r="I60" s="31">
        <f t="shared" si="17"/>
        <v>0</v>
      </c>
      <c r="J60" s="32" t="str">
        <f t="shared" si="18"/>
        <v/>
      </c>
      <c r="K60" s="41"/>
      <c r="L60" s="33">
        <f t="shared" si="19"/>
        <v>0</v>
      </c>
      <c r="M60" s="41"/>
      <c r="N60" s="41"/>
      <c r="O60" s="34">
        <f t="shared" si="20"/>
        <v>0</v>
      </c>
      <c r="P60" s="44"/>
      <c r="Q60" s="44"/>
      <c r="R60" s="37">
        <f t="shared" si="21"/>
        <v>0</v>
      </c>
      <c r="S60" s="38">
        <f t="shared" si="22"/>
        <v>0</v>
      </c>
      <c r="T60" s="39"/>
      <c r="U60" s="42">
        <f>IFERROR(__xludf.DUMMYFUNCTION("""COMPUTED_VALUE"""),0.0)</f>
        <v>0</v>
      </c>
      <c r="V60" s="24"/>
      <c r="W60" s="24"/>
    </row>
    <row r="61" ht="37.5" customHeight="1">
      <c r="A61" s="24"/>
      <c r="B61" s="25">
        <v>3.0</v>
      </c>
      <c r="C61" s="25"/>
      <c r="D61" s="146" t="str">
        <f>IFERROR(__xludf.DUMMYFUNCTION("""COMPUTED_VALUE"""),"ADMIN")</f>
        <v>ADMIN</v>
      </c>
      <c r="E61" s="51"/>
      <c r="F61" s="52">
        <f>IFERROR(__xludf.DUMMYFUNCTION("""COMPUTED_VALUE"""),0.0)</f>
        <v>0</v>
      </c>
      <c r="G61" s="30">
        <v>70000.0</v>
      </c>
      <c r="H61" s="31">
        <f t="shared" si="16"/>
        <v>0</v>
      </c>
      <c r="I61" s="31">
        <f t="shared" si="17"/>
        <v>0</v>
      </c>
      <c r="J61" s="32" t="str">
        <f t="shared" si="18"/>
        <v/>
      </c>
      <c r="K61" s="41"/>
      <c r="L61" s="33">
        <f t="shared" si="19"/>
        <v>0</v>
      </c>
      <c r="M61" s="41"/>
      <c r="N61" s="41"/>
      <c r="O61" s="34">
        <f t="shared" si="20"/>
        <v>0</v>
      </c>
      <c r="P61" s="44"/>
      <c r="Q61" s="44"/>
      <c r="R61" s="37">
        <f t="shared" si="21"/>
        <v>0</v>
      </c>
      <c r="S61" s="38">
        <f t="shared" si="22"/>
        <v>0</v>
      </c>
      <c r="T61" s="39"/>
      <c r="U61" s="42">
        <f>IFERROR(__xludf.DUMMYFUNCTION("""COMPUTED_VALUE"""),0.0)</f>
        <v>0</v>
      </c>
      <c r="V61" s="24"/>
      <c r="W61" s="24"/>
    </row>
    <row r="62" ht="37.5" customHeight="1">
      <c r="B62" s="25">
        <v>4.0</v>
      </c>
      <c r="C62" s="25" t="str">
        <f>IFERROR(__xludf.DUMMYFUNCTION("""COMPUTED_VALUE"""),"ANDRI")</f>
        <v>ANDRI</v>
      </c>
      <c r="D62" s="146" t="str">
        <f>IFERROR(__xludf.DUMMYFUNCTION("""COMPUTED_VALUE"""),"DESIGN BORDIR")</f>
        <v>DESIGN BORDIR</v>
      </c>
      <c r="E62" s="51"/>
      <c r="F62" s="52">
        <f>IFERROR(__xludf.DUMMYFUNCTION("""COMPUTED_VALUE"""),0.0)</f>
        <v>0</v>
      </c>
      <c r="G62" s="30">
        <v>70000.0</v>
      </c>
      <c r="H62" s="31">
        <f t="shared" si="16"/>
        <v>0</v>
      </c>
      <c r="I62" s="31">
        <f t="shared" si="17"/>
        <v>0</v>
      </c>
      <c r="J62" s="32" t="str">
        <f t="shared" si="18"/>
        <v/>
      </c>
      <c r="K62" s="32"/>
      <c r="L62" s="33">
        <f t="shared" si="19"/>
        <v>0</v>
      </c>
      <c r="M62" s="32"/>
      <c r="N62" s="32"/>
      <c r="O62" s="34">
        <f t="shared" si="20"/>
        <v>0</v>
      </c>
      <c r="P62" s="44"/>
      <c r="Q62" s="44"/>
      <c r="R62" s="37">
        <f t="shared" si="21"/>
        <v>0</v>
      </c>
      <c r="S62" s="38">
        <f t="shared" si="22"/>
        <v>0</v>
      </c>
      <c r="T62" s="39"/>
      <c r="U62" s="42">
        <f>IFERROR(__xludf.DUMMYFUNCTION("""COMPUTED_VALUE"""),0.0)</f>
        <v>0</v>
      </c>
      <c r="V62" s="63"/>
      <c r="W62" s="63"/>
    </row>
    <row r="63" ht="37.5" customHeight="1">
      <c r="B63" s="25">
        <v>5.0</v>
      </c>
      <c r="C63" s="25" t="str">
        <f>IFERROR(__xludf.DUMMYFUNCTION("""COMPUTED_VALUE"""),"ADIT")</f>
        <v>ADIT</v>
      </c>
      <c r="D63" s="146" t="str">
        <f>IFERROR(__xludf.DUMMYFUNCTION("""COMPUTED_VALUE"""),"CREATOR")</f>
        <v>CREATOR</v>
      </c>
      <c r="E63" s="51"/>
      <c r="F63" s="52">
        <f>IFERROR(__xludf.DUMMYFUNCTION("""COMPUTED_VALUE"""),0.0)</f>
        <v>0</v>
      </c>
      <c r="G63" s="30">
        <v>50000.0</v>
      </c>
      <c r="H63" s="31">
        <f t="shared" si="16"/>
        <v>0</v>
      </c>
      <c r="I63" s="31">
        <f t="shared" si="17"/>
        <v>0</v>
      </c>
      <c r="J63" s="66"/>
      <c r="K63" s="32"/>
      <c r="L63" s="33">
        <f t="shared" si="19"/>
        <v>0</v>
      </c>
      <c r="M63" s="32"/>
      <c r="N63" s="32"/>
      <c r="O63" s="34">
        <f t="shared" si="20"/>
        <v>0</v>
      </c>
      <c r="P63" s="44"/>
      <c r="Q63" s="44"/>
      <c r="R63" s="37">
        <f t="shared" si="21"/>
        <v>0</v>
      </c>
      <c r="S63" s="38">
        <f t="shared" si="22"/>
        <v>0</v>
      </c>
      <c r="T63" s="39"/>
      <c r="U63" s="42">
        <f>IFERROR(__xludf.DUMMYFUNCTION("""COMPUTED_VALUE"""),0.0)</f>
        <v>0</v>
      </c>
      <c r="V63" s="63"/>
      <c r="W63" s="63"/>
    </row>
    <row r="64" ht="37.5" customHeight="1">
      <c r="B64" s="25">
        <v>6.0</v>
      </c>
      <c r="C64" s="25" t="str">
        <f>IFERROR(__xludf.DUMMYFUNCTION("""COMPUTED_VALUE"""),"WILI")</f>
        <v>WILI</v>
      </c>
      <c r="D64" s="146" t="str">
        <f>IFERROR(__xludf.DUMMYFUNCTION("""COMPUTED_VALUE"""),"OP MESIN")</f>
        <v>OP MESIN</v>
      </c>
      <c r="E64" s="51"/>
      <c r="F64" s="52">
        <f>IFERROR(__xludf.DUMMYFUNCTION("""COMPUTED_VALUE"""),0.0)</f>
        <v>0</v>
      </c>
      <c r="G64" s="30">
        <v>70000.0</v>
      </c>
      <c r="H64" s="31">
        <f t="shared" si="16"/>
        <v>0</v>
      </c>
      <c r="I64" s="31">
        <f t="shared" si="17"/>
        <v>0</v>
      </c>
      <c r="J64" s="32" t="str">
        <f t="shared" ref="J64:J80" si="23">IF(E64="SHIFT 2",I64,"")</f>
        <v/>
      </c>
      <c r="K64" s="32"/>
      <c r="L64" s="33">
        <f t="shared" si="19"/>
        <v>0</v>
      </c>
      <c r="M64" s="32"/>
      <c r="N64" s="32"/>
      <c r="O64" s="34">
        <f t="shared" si="20"/>
        <v>0</v>
      </c>
      <c r="P64" s="44"/>
      <c r="Q64" s="44"/>
      <c r="R64" s="37">
        <f t="shared" si="21"/>
        <v>0</v>
      </c>
      <c r="S64" s="38">
        <f t="shared" si="22"/>
        <v>0</v>
      </c>
      <c r="T64" s="39"/>
      <c r="U64" s="42">
        <f>IFERROR(__xludf.DUMMYFUNCTION("""COMPUTED_VALUE"""),0.0)</f>
        <v>0</v>
      </c>
      <c r="V64" s="63"/>
      <c r="W64" s="63"/>
    </row>
    <row r="65" ht="37.5" customHeight="1">
      <c r="B65" s="25">
        <v>7.0</v>
      </c>
      <c r="C65" s="25" t="str">
        <f>IFERROR(__xludf.DUMMYFUNCTION("""COMPUTED_VALUE"""),"OGA")</f>
        <v>OGA</v>
      </c>
      <c r="D65" s="146" t="str">
        <f>IFERROR(__xludf.DUMMYFUNCTION("""COMPUTED_VALUE"""),"OP MESIN")</f>
        <v>OP MESIN</v>
      </c>
      <c r="E65" s="51"/>
      <c r="F65" s="52">
        <f>IFERROR(__xludf.DUMMYFUNCTION("""COMPUTED_VALUE"""),0.0)</f>
        <v>0</v>
      </c>
      <c r="G65" s="30">
        <v>70000.0</v>
      </c>
      <c r="H65" s="31">
        <f t="shared" si="16"/>
        <v>0</v>
      </c>
      <c r="I65" s="31">
        <f t="shared" si="17"/>
        <v>0</v>
      </c>
      <c r="J65" s="32" t="str">
        <f t="shared" si="23"/>
        <v/>
      </c>
      <c r="K65" s="32"/>
      <c r="L65" s="33">
        <f t="shared" si="19"/>
        <v>0</v>
      </c>
      <c r="M65" s="32"/>
      <c r="N65" s="32"/>
      <c r="O65" s="34">
        <f t="shared" si="20"/>
        <v>0</v>
      </c>
      <c r="P65" s="44"/>
      <c r="Q65" s="44"/>
      <c r="R65" s="37">
        <f t="shared" si="21"/>
        <v>0</v>
      </c>
      <c r="S65" s="38">
        <f t="shared" si="22"/>
        <v>0</v>
      </c>
      <c r="T65" s="39"/>
      <c r="U65" s="42">
        <f>IFERROR(__xludf.DUMMYFUNCTION("""COMPUTED_VALUE"""),0.0)</f>
        <v>0</v>
      </c>
    </row>
    <row r="66" ht="37.5" customHeight="1">
      <c r="B66" s="25">
        <v>8.0</v>
      </c>
      <c r="C66" s="25" t="str">
        <f>IFERROR(__xludf.DUMMYFUNCTION("""COMPUTED_VALUE"""),"ASEP")</f>
        <v>ASEP</v>
      </c>
      <c r="D66" s="146" t="str">
        <f>IFERROR(__xludf.DUMMYFUNCTION("""COMPUTED_VALUE"""),"OP MESIN")</f>
        <v>OP MESIN</v>
      </c>
      <c r="E66" s="51"/>
      <c r="F66" s="52">
        <f>IFERROR(__xludf.DUMMYFUNCTION("""COMPUTED_VALUE"""),0.0)</f>
        <v>0</v>
      </c>
      <c r="G66" s="30">
        <v>50000.0</v>
      </c>
      <c r="H66" s="31">
        <f t="shared" si="16"/>
        <v>0</v>
      </c>
      <c r="I66" s="31">
        <f t="shared" si="17"/>
        <v>0</v>
      </c>
      <c r="J66" s="32" t="str">
        <f t="shared" si="23"/>
        <v/>
      </c>
      <c r="K66" s="32"/>
      <c r="L66" s="33">
        <f t="shared" si="19"/>
        <v>0</v>
      </c>
      <c r="M66" s="32"/>
      <c r="N66" s="32"/>
      <c r="O66" s="34">
        <f t="shared" si="20"/>
        <v>0</v>
      </c>
      <c r="P66" s="44"/>
      <c r="Q66" s="44"/>
      <c r="R66" s="37">
        <f t="shared" si="21"/>
        <v>0</v>
      </c>
      <c r="S66" s="38">
        <f t="shared" si="22"/>
        <v>0</v>
      </c>
      <c r="T66" s="39"/>
      <c r="U66" s="42">
        <f>IFERROR(__xludf.DUMMYFUNCTION("""COMPUTED_VALUE"""),0.0)</f>
        <v>0</v>
      </c>
    </row>
    <row r="67" ht="37.5" customHeight="1">
      <c r="B67" s="25">
        <v>9.0</v>
      </c>
      <c r="C67" s="25" t="str">
        <f>IFERROR(__xludf.DUMMYFUNCTION("""COMPUTED_VALUE"""),"HIFNI")</f>
        <v>HIFNI</v>
      </c>
      <c r="D67" s="146" t="str">
        <f>IFERROR(__xludf.DUMMYFUNCTION("""COMPUTED_VALUE"""),"OP MESIN")</f>
        <v>OP MESIN</v>
      </c>
      <c r="E67" s="51"/>
      <c r="F67" s="52">
        <f>IFERROR(__xludf.DUMMYFUNCTION("""COMPUTED_VALUE"""),0.0)</f>
        <v>0</v>
      </c>
      <c r="G67" s="30">
        <v>50000.0</v>
      </c>
      <c r="H67" s="31">
        <f t="shared" si="16"/>
        <v>0</v>
      </c>
      <c r="I67" s="31">
        <f t="shared" si="17"/>
        <v>0</v>
      </c>
      <c r="J67" s="32" t="str">
        <f t="shared" si="23"/>
        <v/>
      </c>
      <c r="K67" s="32"/>
      <c r="L67" s="33">
        <f t="shared" si="19"/>
        <v>0</v>
      </c>
      <c r="M67" s="32"/>
      <c r="N67" s="32"/>
      <c r="O67" s="34">
        <f t="shared" si="20"/>
        <v>0</v>
      </c>
      <c r="P67" s="44"/>
      <c r="Q67" s="44"/>
      <c r="R67" s="37">
        <f t="shared" si="21"/>
        <v>0</v>
      </c>
      <c r="S67" s="38">
        <f t="shared" si="22"/>
        <v>0</v>
      </c>
      <c r="T67" s="39"/>
      <c r="U67" s="42">
        <f>IFERROR(__xludf.DUMMYFUNCTION("""COMPUTED_VALUE"""),0.0)</f>
        <v>0</v>
      </c>
    </row>
    <row r="68" ht="37.5" customHeight="1">
      <c r="B68" s="25">
        <v>10.0</v>
      </c>
      <c r="C68" s="25" t="str">
        <f>IFERROR(__xludf.DUMMYFUNCTION("""COMPUTED_VALUE"""),"IIS")</f>
        <v>IIS</v>
      </c>
      <c r="D68" s="146" t="str">
        <f>IFERROR(__xludf.DUMMYFUNCTION("""COMPUTED_VALUE"""),"PACKING")</f>
        <v>PACKING</v>
      </c>
      <c r="E68" s="51"/>
      <c r="F68" s="52">
        <f>IFERROR(__xludf.DUMMYFUNCTION("""COMPUTED_VALUE"""),0.0)</f>
        <v>0</v>
      </c>
      <c r="G68" s="45"/>
      <c r="H68" s="31">
        <f t="shared" si="16"/>
        <v>0</v>
      </c>
      <c r="I68" s="31">
        <f t="shared" si="17"/>
        <v>0</v>
      </c>
      <c r="J68" s="32" t="str">
        <f t="shared" si="23"/>
        <v/>
      </c>
      <c r="K68" s="32"/>
      <c r="L68" s="33">
        <f t="shared" si="19"/>
        <v>0</v>
      </c>
      <c r="M68" s="32"/>
      <c r="N68" s="32"/>
      <c r="O68" s="34">
        <f t="shared" si="20"/>
        <v>0</v>
      </c>
      <c r="P68" s="44"/>
      <c r="Q68" s="44"/>
      <c r="R68" s="37">
        <f t="shared" si="21"/>
        <v>0</v>
      </c>
      <c r="S68" s="38">
        <f t="shared" si="22"/>
        <v>0</v>
      </c>
      <c r="T68" s="39"/>
      <c r="U68" s="42">
        <f>IFERROR(__xludf.DUMMYFUNCTION("""COMPUTED_VALUE"""),0.0)</f>
        <v>0</v>
      </c>
    </row>
    <row r="69" ht="37.5" customHeight="1">
      <c r="B69" s="25">
        <v>11.0</v>
      </c>
      <c r="C69" s="25"/>
      <c r="D69" s="146"/>
      <c r="E69" s="51"/>
      <c r="F69" s="52">
        <f>IFERROR(__xludf.DUMMYFUNCTION("""COMPUTED_VALUE"""),0.0)</f>
        <v>0</v>
      </c>
      <c r="G69" s="45"/>
      <c r="H69" s="31">
        <f t="shared" si="16"/>
        <v>0</v>
      </c>
      <c r="I69" s="31">
        <f t="shared" si="17"/>
        <v>0</v>
      </c>
      <c r="J69" s="32" t="str">
        <f t="shared" si="23"/>
        <v/>
      </c>
      <c r="K69" s="32"/>
      <c r="L69" s="33">
        <f t="shared" si="19"/>
        <v>0</v>
      </c>
      <c r="M69" s="32"/>
      <c r="N69" s="32"/>
      <c r="O69" s="34">
        <f t="shared" si="20"/>
        <v>0</v>
      </c>
      <c r="P69" s="44"/>
      <c r="Q69" s="44"/>
      <c r="R69" s="37">
        <f t="shared" si="21"/>
        <v>0</v>
      </c>
      <c r="S69" s="38">
        <f t="shared" si="22"/>
        <v>0</v>
      </c>
      <c r="T69" s="39"/>
      <c r="U69" s="42">
        <f>IFERROR(__xludf.DUMMYFUNCTION("""COMPUTED_VALUE"""),0.0)</f>
        <v>0</v>
      </c>
    </row>
    <row r="70" ht="37.5" customHeight="1">
      <c r="B70" s="25">
        <v>12.0</v>
      </c>
      <c r="C70" s="49"/>
      <c r="D70" s="50"/>
      <c r="E70" s="51"/>
      <c r="F70" s="52">
        <f>IFERROR(__xludf.DUMMYFUNCTION("""COMPUTED_VALUE"""),0.0)</f>
        <v>0</v>
      </c>
      <c r="G70" s="45"/>
      <c r="H70" s="31">
        <f t="shared" si="16"/>
        <v>0</v>
      </c>
      <c r="I70" s="31">
        <f t="shared" si="17"/>
        <v>0</v>
      </c>
      <c r="J70" s="32" t="str">
        <f t="shared" si="23"/>
        <v/>
      </c>
      <c r="K70" s="32"/>
      <c r="L70" s="33">
        <f t="shared" si="19"/>
        <v>0</v>
      </c>
      <c r="M70" s="32"/>
      <c r="N70" s="32"/>
      <c r="O70" s="34">
        <f t="shared" si="20"/>
        <v>0</v>
      </c>
      <c r="P70" s="44"/>
      <c r="Q70" s="44"/>
      <c r="R70" s="37">
        <f t="shared" si="21"/>
        <v>0</v>
      </c>
      <c r="S70" s="38">
        <f t="shared" si="22"/>
        <v>0</v>
      </c>
      <c r="T70" s="39"/>
      <c r="U70" s="42">
        <f>IFERROR(__xludf.DUMMYFUNCTION("""COMPUTED_VALUE"""),0.0)</f>
        <v>0</v>
      </c>
    </row>
    <row r="71" ht="37.5" customHeight="1">
      <c r="B71" s="25">
        <v>13.0</v>
      </c>
      <c r="C71" s="25"/>
      <c r="D71" s="146"/>
      <c r="E71" s="51"/>
      <c r="F71" s="52">
        <f>IFERROR(__xludf.DUMMYFUNCTION("""COMPUTED_VALUE"""),0.0)</f>
        <v>0</v>
      </c>
      <c r="G71" s="45"/>
      <c r="H71" s="31">
        <f t="shared" si="16"/>
        <v>0</v>
      </c>
      <c r="I71" s="31">
        <f t="shared" si="17"/>
        <v>0</v>
      </c>
      <c r="J71" s="32" t="str">
        <f t="shared" si="23"/>
        <v/>
      </c>
      <c r="K71" s="32"/>
      <c r="L71" s="33">
        <f t="shared" si="19"/>
        <v>0</v>
      </c>
      <c r="M71" s="32"/>
      <c r="N71" s="32"/>
      <c r="O71" s="34">
        <f t="shared" si="20"/>
        <v>0</v>
      </c>
      <c r="P71" s="44"/>
      <c r="Q71" s="44"/>
      <c r="R71" s="37">
        <f t="shared" si="21"/>
        <v>0</v>
      </c>
      <c r="S71" s="38">
        <f t="shared" si="22"/>
        <v>0</v>
      </c>
      <c r="T71" s="39"/>
      <c r="U71" s="42">
        <f>IFERROR(__xludf.DUMMYFUNCTION("""COMPUTED_VALUE"""),0.0)</f>
        <v>0</v>
      </c>
    </row>
    <row r="72" ht="37.5" customHeight="1">
      <c r="B72" s="25">
        <v>14.0</v>
      </c>
      <c r="C72" s="25"/>
      <c r="D72" s="146"/>
      <c r="E72" s="51"/>
      <c r="F72" s="52">
        <f>IFERROR(__xludf.DUMMYFUNCTION("""COMPUTED_VALUE"""),0.0)</f>
        <v>0</v>
      </c>
      <c r="G72" s="45"/>
      <c r="H72" s="31">
        <f t="shared" si="16"/>
        <v>0</v>
      </c>
      <c r="I72" s="31">
        <f t="shared" si="17"/>
        <v>0</v>
      </c>
      <c r="J72" s="32" t="str">
        <f t="shared" si="23"/>
        <v/>
      </c>
      <c r="K72" s="32"/>
      <c r="L72" s="33">
        <f t="shared" si="19"/>
        <v>0</v>
      </c>
      <c r="M72" s="32"/>
      <c r="N72" s="32"/>
      <c r="O72" s="34">
        <f t="shared" si="20"/>
        <v>0</v>
      </c>
      <c r="P72" s="44"/>
      <c r="Q72" s="44"/>
      <c r="R72" s="37">
        <f t="shared" si="21"/>
        <v>0</v>
      </c>
      <c r="S72" s="38">
        <f t="shared" si="22"/>
        <v>0</v>
      </c>
      <c r="T72" s="39"/>
      <c r="U72" s="42">
        <f>IFERROR(__xludf.DUMMYFUNCTION("""COMPUTED_VALUE"""),0.0)</f>
        <v>0</v>
      </c>
    </row>
    <row r="73" ht="37.5" customHeight="1">
      <c r="B73" s="25">
        <v>15.0</v>
      </c>
      <c r="C73" s="49"/>
      <c r="D73" s="50"/>
      <c r="E73" s="51"/>
      <c r="F73" s="52">
        <f>IFERROR(__xludf.DUMMYFUNCTION("""COMPUTED_VALUE"""),0.0)</f>
        <v>0</v>
      </c>
      <c r="G73" s="45"/>
      <c r="H73" s="31">
        <f t="shared" si="16"/>
        <v>0</v>
      </c>
      <c r="I73" s="31">
        <f t="shared" si="17"/>
        <v>0</v>
      </c>
      <c r="J73" s="32" t="str">
        <f t="shared" si="23"/>
        <v/>
      </c>
      <c r="K73" s="32"/>
      <c r="L73" s="33">
        <f t="shared" si="19"/>
        <v>0</v>
      </c>
      <c r="M73" s="32"/>
      <c r="N73" s="32"/>
      <c r="O73" s="34">
        <f t="shared" si="20"/>
        <v>0</v>
      </c>
      <c r="P73" s="44"/>
      <c r="Q73" s="44"/>
      <c r="R73" s="37">
        <f t="shared" si="21"/>
        <v>0</v>
      </c>
      <c r="S73" s="38">
        <f t="shared" si="22"/>
        <v>0</v>
      </c>
      <c r="T73" s="39"/>
      <c r="U73" s="42">
        <f>IFERROR(__xludf.DUMMYFUNCTION("""COMPUTED_VALUE"""),0.0)</f>
        <v>0</v>
      </c>
    </row>
    <row r="74" ht="37.5" customHeight="1">
      <c r="B74" s="25">
        <v>16.0</v>
      </c>
      <c r="C74" s="49"/>
      <c r="D74" s="50"/>
      <c r="E74" s="51"/>
      <c r="F74" s="52">
        <f>IFERROR(__xludf.DUMMYFUNCTION("""COMPUTED_VALUE"""),0.0)</f>
        <v>0</v>
      </c>
      <c r="G74" s="45"/>
      <c r="H74" s="31">
        <f t="shared" si="16"/>
        <v>0</v>
      </c>
      <c r="I74" s="31">
        <f t="shared" si="17"/>
        <v>0</v>
      </c>
      <c r="J74" s="32" t="str">
        <f t="shared" si="23"/>
        <v/>
      </c>
      <c r="K74" s="32"/>
      <c r="L74" s="33">
        <f t="shared" si="19"/>
        <v>0</v>
      </c>
      <c r="M74" s="32"/>
      <c r="N74" s="32"/>
      <c r="O74" s="34">
        <f t="shared" si="20"/>
        <v>0</v>
      </c>
      <c r="P74" s="44"/>
      <c r="Q74" s="44"/>
      <c r="R74" s="37">
        <f t="shared" si="21"/>
        <v>0</v>
      </c>
      <c r="S74" s="38">
        <f t="shared" si="22"/>
        <v>0</v>
      </c>
      <c r="T74" s="39"/>
      <c r="U74" s="42">
        <f>IFERROR(__xludf.DUMMYFUNCTION("""COMPUTED_VALUE"""),0.0)</f>
        <v>0</v>
      </c>
    </row>
    <row r="75" ht="37.5" customHeight="1">
      <c r="B75" s="25">
        <v>17.0</v>
      </c>
      <c r="C75" s="49"/>
      <c r="D75" s="50"/>
      <c r="E75" s="51"/>
      <c r="F75" s="52">
        <f>IFERROR(__xludf.DUMMYFUNCTION("""COMPUTED_VALUE"""),0.0)</f>
        <v>0</v>
      </c>
      <c r="G75" s="45"/>
      <c r="H75" s="31">
        <f t="shared" si="16"/>
        <v>0</v>
      </c>
      <c r="I75" s="31">
        <f t="shared" si="17"/>
        <v>0</v>
      </c>
      <c r="J75" s="32" t="str">
        <f t="shared" si="23"/>
        <v/>
      </c>
      <c r="K75" s="32"/>
      <c r="L75" s="33">
        <f t="shared" si="19"/>
        <v>0</v>
      </c>
      <c r="M75" s="32"/>
      <c r="N75" s="32"/>
      <c r="O75" s="34">
        <f t="shared" si="20"/>
        <v>0</v>
      </c>
      <c r="P75" s="44"/>
      <c r="Q75" s="44"/>
      <c r="R75" s="37">
        <f t="shared" si="21"/>
        <v>0</v>
      </c>
      <c r="S75" s="38">
        <f t="shared" si="22"/>
        <v>0</v>
      </c>
      <c r="T75" s="39"/>
      <c r="U75" s="42">
        <f>IFERROR(__xludf.DUMMYFUNCTION("""COMPUTED_VALUE"""),0.0)</f>
        <v>0</v>
      </c>
    </row>
    <row r="76" ht="37.5" customHeight="1">
      <c r="B76" s="25">
        <v>18.0</v>
      </c>
      <c r="C76" s="49"/>
      <c r="D76" s="51"/>
      <c r="E76" s="51"/>
      <c r="F76" s="42">
        <f>IFERROR(__xludf.DUMMYFUNCTION("""COMPUTED_VALUE"""),0.0)</f>
        <v>0</v>
      </c>
      <c r="G76" s="53"/>
      <c r="H76" s="31">
        <f t="shared" si="16"/>
        <v>0</v>
      </c>
      <c r="I76" s="31">
        <f t="shared" si="17"/>
        <v>0</v>
      </c>
      <c r="J76" s="32" t="str">
        <f t="shared" si="23"/>
        <v/>
      </c>
      <c r="K76" s="32"/>
      <c r="L76" s="33">
        <f t="shared" si="19"/>
        <v>0</v>
      </c>
      <c r="M76" s="32"/>
      <c r="N76" s="32"/>
      <c r="O76" s="34">
        <f t="shared" si="20"/>
        <v>0</v>
      </c>
      <c r="P76" s="44"/>
      <c r="Q76" s="44"/>
      <c r="R76" s="37">
        <f t="shared" si="21"/>
        <v>0</v>
      </c>
      <c r="S76" s="38">
        <f t="shared" si="22"/>
        <v>0</v>
      </c>
      <c r="T76" s="51"/>
      <c r="U76" s="42">
        <f>IFERROR(__xludf.DUMMYFUNCTION("""COMPUTED_VALUE"""),0.0)</f>
        <v>0</v>
      </c>
    </row>
    <row r="77" ht="37.5" customHeight="1">
      <c r="B77" s="25">
        <v>19.0</v>
      </c>
      <c r="C77" s="49"/>
      <c r="D77" s="51"/>
      <c r="E77" s="51"/>
      <c r="F77" s="42">
        <f>IFERROR(__xludf.DUMMYFUNCTION("""COMPUTED_VALUE"""),0.0)</f>
        <v>0</v>
      </c>
      <c r="G77" s="53"/>
      <c r="H77" s="31">
        <f t="shared" si="16"/>
        <v>0</v>
      </c>
      <c r="I77" s="31">
        <f t="shared" si="17"/>
        <v>0</v>
      </c>
      <c r="J77" s="32" t="str">
        <f t="shared" si="23"/>
        <v/>
      </c>
      <c r="K77" s="32"/>
      <c r="L77" s="33">
        <f t="shared" si="19"/>
        <v>0</v>
      </c>
      <c r="M77" s="32"/>
      <c r="N77" s="32"/>
      <c r="O77" s="34">
        <f t="shared" si="20"/>
        <v>0</v>
      </c>
      <c r="P77" s="44"/>
      <c r="Q77" s="44"/>
      <c r="R77" s="37">
        <f t="shared" si="21"/>
        <v>0</v>
      </c>
      <c r="S77" s="38">
        <f t="shared" si="22"/>
        <v>0</v>
      </c>
      <c r="T77" s="51"/>
      <c r="U77" s="42">
        <f>IFERROR(__xludf.DUMMYFUNCTION("""COMPUTED_VALUE"""),0.0)</f>
        <v>0</v>
      </c>
    </row>
    <row r="78" ht="37.5" customHeight="1">
      <c r="B78" s="25">
        <v>20.0</v>
      </c>
      <c r="C78" s="49"/>
      <c r="D78" s="51"/>
      <c r="E78" s="51"/>
      <c r="F78" s="42"/>
      <c r="G78" s="53"/>
      <c r="H78" s="31">
        <f t="shared" si="16"/>
        <v>0</v>
      </c>
      <c r="I78" s="31">
        <f t="shared" si="17"/>
        <v>0</v>
      </c>
      <c r="J78" s="32" t="str">
        <f t="shared" si="23"/>
        <v/>
      </c>
      <c r="K78" s="32"/>
      <c r="L78" s="33">
        <f t="shared" si="19"/>
        <v>0</v>
      </c>
      <c r="M78" s="32"/>
      <c r="N78" s="32"/>
      <c r="O78" s="34">
        <f t="shared" si="20"/>
        <v>0</v>
      </c>
      <c r="P78" s="44"/>
      <c r="Q78" s="44"/>
      <c r="R78" s="37">
        <f t="shared" si="21"/>
        <v>0</v>
      </c>
      <c r="S78" s="38">
        <f t="shared" si="22"/>
        <v>0</v>
      </c>
      <c r="T78" s="51"/>
      <c r="U78" s="42"/>
    </row>
    <row r="79" ht="37.5" customHeight="1">
      <c r="B79" s="25">
        <v>21.0</v>
      </c>
      <c r="C79" s="49"/>
      <c r="D79" s="51"/>
      <c r="E79" s="51"/>
      <c r="F79" s="42"/>
      <c r="G79" s="53"/>
      <c r="H79" s="31">
        <f t="shared" si="16"/>
        <v>0</v>
      </c>
      <c r="I79" s="31">
        <f t="shared" si="17"/>
        <v>0</v>
      </c>
      <c r="J79" s="32" t="str">
        <f t="shared" si="23"/>
        <v/>
      </c>
      <c r="K79" s="32"/>
      <c r="L79" s="33">
        <f t="shared" si="19"/>
        <v>0</v>
      </c>
      <c r="M79" s="32"/>
      <c r="N79" s="32"/>
      <c r="O79" s="34">
        <f t="shared" si="20"/>
        <v>0</v>
      </c>
      <c r="P79" s="44"/>
      <c r="Q79" s="44"/>
      <c r="R79" s="37">
        <f t="shared" si="21"/>
        <v>0</v>
      </c>
      <c r="S79" s="38">
        <f t="shared" si="22"/>
        <v>0</v>
      </c>
      <c r="T79" s="51"/>
      <c r="U79" s="42"/>
    </row>
    <row r="80" ht="37.5" customHeight="1">
      <c r="B80" s="25">
        <v>22.0</v>
      </c>
      <c r="C80" s="49"/>
      <c r="D80" s="51"/>
      <c r="E80" s="51"/>
      <c r="F80" s="42"/>
      <c r="G80" s="53"/>
      <c r="H80" s="31">
        <f t="shared" si="16"/>
        <v>0</v>
      </c>
      <c r="I80" s="31">
        <f t="shared" si="17"/>
        <v>0</v>
      </c>
      <c r="J80" s="32" t="str">
        <f t="shared" si="23"/>
        <v/>
      </c>
      <c r="K80" s="32"/>
      <c r="L80" s="33">
        <f t="shared" si="19"/>
        <v>0</v>
      </c>
      <c r="M80" s="32"/>
      <c r="N80" s="32"/>
      <c r="O80" s="34">
        <f t="shared" si="20"/>
        <v>0</v>
      </c>
      <c r="P80" s="44"/>
      <c r="Q80" s="44"/>
      <c r="R80" s="37">
        <f t="shared" si="21"/>
        <v>0</v>
      </c>
      <c r="S80" s="38">
        <f t="shared" si="22"/>
        <v>0</v>
      </c>
      <c r="T80" s="51"/>
      <c r="U80" s="42"/>
    </row>
    <row r="81" ht="37.5" customHeight="1">
      <c r="B81" s="54"/>
      <c r="F81" s="55" t="s">
        <v>21</v>
      </c>
      <c r="S81" s="56">
        <f>SUM(S59:S80)</f>
        <v>0</v>
      </c>
      <c r="T81" s="57"/>
      <c r="U81" s="58"/>
    </row>
    <row r="82" ht="37.5" customHeight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</row>
    <row r="83" ht="37.5" customHeight="1">
      <c r="B83" s="21" t="str">
        <f>IFERROR(__xludf.DUMMYFUNCTION("IMPORTRANGE(""https://docs.google.com/spreadsheets/d/17TnzcKnlaqlAyM_3lnNpgK5CAOPbscCCRVH50X8UulY/edit?usp=sharing"",""DESEMBER!B72"")"),"TANGGAL :  21-26 DESEMBER 2026")</f>
        <v>TANGGAL :  21-26 DESEMBER 2026</v>
      </c>
      <c r="F83" s="22"/>
      <c r="G83" s="22"/>
      <c r="H83" s="22"/>
      <c r="I83" s="22"/>
      <c r="J83" s="22"/>
      <c r="K83" s="22"/>
      <c r="L83" s="23">
        <v>15000.0</v>
      </c>
      <c r="M83" s="22"/>
      <c r="N83" s="22"/>
      <c r="O83" s="22"/>
      <c r="P83" s="22"/>
      <c r="Q83" s="22"/>
      <c r="R83" s="22"/>
      <c r="S83" s="22"/>
      <c r="T83" s="22"/>
      <c r="U83" s="22"/>
    </row>
    <row r="84" ht="37.5" customHeight="1">
      <c r="A84" s="24"/>
      <c r="B84" s="25">
        <v>1.0</v>
      </c>
      <c r="C84" s="26" t="str">
        <f>IFERROR(__xludf.DUMMYFUNCTION("IMPORTRANGE(""https://docs.google.com/spreadsheets/d/17TnzcKnlaqlAyM_3lnNpgK5CAOPbscCCRVH50X8UulY/edit?usp=sharing"",""DESEMBER!B73:D91"")"),"EPUL")</f>
        <v>EPUL</v>
      </c>
      <c r="D84" s="27" t="str">
        <f>IFERROR(__xludf.DUMMYFUNCTION("""COMPUTED_VALUE"""),"KEPALA")</f>
        <v>KEPALA</v>
      </c>
      <c r="E84" s="28"/>
      <c r="F84" s="52">
        <f>IFERROR(__xludf.DUMMYFUNCTION("IMPORTRANGE(""https://docs.google.com/spreadsheets/d/17TnzcKnlaqlAyM_3lnNpgK5CAOPbscCCRVH50X8UulY/edit?usp=sharing"",""DESEMBER!K73:K91"")"),0.0)</f>
        <v>0</v>
      </c>
      <c r="G84" s="30">
        <v>110000.0</v>
      </c>
      <c r="H84" s="31">
        <f t="shared" ref="H84:H105" si="24">F84*G84</f>
        <v>0</v>
      </c>
      <c r="I84" s="31">
        <f t="shared" ref="I84:I105" si="25">F84*10000</f>
        <v>0</v>
      </c>
      <c r="J84" s="32" t="str">
        <f t="shared" ref="J84:J105" si="26">IF(E84="SHIFT 2",I84,"")</f>
        <v/>
      </c>
      <c r="K84" s="32"/>
      <c r="L84" s="33">
        <f t="shared" ref="L84:L105" si="27">U84*$L$83</f>
        <v>0</v>
      </c>
      <c r="M84" s="32"/>
      <c r="N84" s="32"/>
      <c r="O84" s="34">
        <f t="shared" ref="O84:O105" si="28">SUM(H84:N84)</f>
        <v>0</v>
      </c>
      <c r="P84" s="44"/>
      <c r="Q84" s="44"/>
      <c r="R84" s="37">
        <f t="shared" ref="R84:R105" si="29">SUM(P84:Q84)</f>
        <v>0</v>
      </c>
      <c r="S84" s="38">
        <f t="shared" ref="S84:S105" si="30">O84-R84</f>
        <v>0</v>
      </c>
      <c r="T84" s="39" t="str">
        <f>IFERROR(__xludf.DUMMYFUNCTION("IMPORTRANGE(""https://docs.google.com/spreadsheets/d/17TnzcKnlaqlAyM_3lnNpgK5CAOPbscCCRVH50X8UulY/edit?usp=sharing"",""DESEMBER!L73:L91"")"),"")</f>
        <v/>
      </c>
      <c r="U84" s="42">
        <f>IFERROR(__xludf.DUMMYFUNCTION("IMPORTRANGE(""https://docs.google.com/spreadsheets/d/17TnzcKnlaqlAyM_3lnNpgK5CAOPbscCCRVH50X8UulY/edit?usp=sharing"",""DESEMBER!U73:U91"")"),0.0)</f>
        <v>0</v>
      </c>
      <c r="V84" s="24"/>
      <c r="W84" s="24"/>
    </row>
    <row r="85" ht="37.5" customHeight="1">
      <c r="A85" s="24"/>
      <c r="B85" s="25">
        <v>2.0</v>
      </c>
      <c r="C85" s="26" t="str">
        <f>IFERROR(__xludf.DUMMYFUNCTION("""COMPUTED_VALUE"""),"HISMI")</f>
        <v>HISMI</v>
      </c>
      <c r="D85" s="27" t="str">
        <f>IFERROR(__xludf.DUMMYFUNCTION("""COMPUTED_VALUE"""),"ADMIN")</f>
        <v>ADMIN</v>
      </c>
      <c r="E85" s="28"/>
      <c r="F85" s="52">
        <f>IFERROR(__xludf.DUMMYFUNCTION("""COMPUTED_VALUE"""),0.0)</f>
        <v>0</v>
      </c>
      <c r="G85" s="30">
        <v>70000.0</v>
      </c>
      <c r="H85" s="31">
        <f t="shared" si="24"/>
        <v>0</v>
      </c>
      <c r="I85" s="31">
        <f t="shared" si="25"/>
        <v>0</v>
      </c>
      <c r="J85" s="32" t="str">
        <f t="shared" si="26"/>
        <v/>
      </c>
      <c r="K85" s="41"/>
      <c r="L85" s="33">
        <f t="shared" si="27"/>
        <v>0</v>
      </c>
      <c r="M85" s="41"/>
      <c r="N85" s="41"/>
      <c r="O85" s="34">
        <f t="shared" si="28"/>
        <v>0</v>
      </c>
      <c r="P85" s="44"/>
      <c r="Q85" s="44"/>
      <c r="R85" s="37">
        <f t="shared" si="29"/>
        <v>0</v>
      </c>
      <c r="S85" s="38">
        <f t="shared" si="30"/>
        <v>0</v>
      </c>
      <c r="T85" s="39"/>
      <c r="U85" s="42">
        <f>IFERROR(__xludf.DUMMYFUNCTION("""COMPUTED_VALUE"""),0.0)</f>
        <v>0</v>
      </c>
      <c r="V85" s="24"/>
      <c r="W85" s="24"/>
    </row>
    <row r="86" ht="37.5" customHeight="1">
      <c r="A86" s="24"/>
      <c r="B86" s="25">
        <v>3.0</v>
      </c>
      <c r="C86" s="26"/>
      <c r="D86" s="27" t="str">
        <f>IFERROR(__xludf.DUMMYFUNCTION("""COMPUTED_VALUE"""),"ADMIN")</f>
        <v>ADMIN</v>
      </c>
      <c r="E86" s="28"/>
      <c r="F86" s="52">
        <f>IFERROR(__xludf.DUMMYFUNCTION("""COMPUTED_VALUE"""),0.0)</f>
        <v>0</v>
      </c>
      <c r="G86" s="30">
        <v>70000.0</v>
      </c>
      <c r="H86" s="31">
        <f t="shared" si="24"/>
        <v>0</v>
      </c>
      <c r="I86" s="31">
        <f t="shared" si="25"/>
        <v>0</v>
      </c>
      <c r="J86" s="32" t="str">
        <f t="shared" si="26"/>
        <v/>
      </c>
      <c r="K86" s="41"/>
      <c r="L86" s="33">
        <f t="shared" si="27"/>
        <v>0</v>
      </c>
      <c r="M86" s="41"/>
      <c r="N86" s="41"/>
      <c r="O86" s="34">
        <f t="shared" si="28"/>
        <v>0</v>
      </c>
      <c r="P86" s="44"/>
      <c r="Q86" s="44"/>
      <c r="R86" s="37">
        <f t="shared" si="29"/>
        <v>0</v>
      </c>
      <c r="S86" s="38">
        <f t="shared" si="30"/>
        <v>0</v>
      </c>
      <c r="T86" s="39"/>
      <c r="U86" s="42">
        <f>IFERROR(__xludf.DUMMYFUNCTION("""COMPUTED_VALUE"""),0.0)</f>
        <v>0</v>
      </c>
      <c r="V86" s="24"/>
      <c r="W86" s="24"/>
    </row>
    <row r="87" ht="37.5" customHeight="1">
      <c r="B87" s="25">
        <v>4.0</v>
      </c>
      <c r="C87" s="26" t="str">
        <f>IFERROR(__xludf.DUMMYFUNCTION("""COMPUTED_VALUE"""),"ANDRI")</f>
        <v>ANDRI</v>
      </c>
      <c r="D87" s="27" t="str">
        <f>IFERROR(__xludf.DUMMYFUNCTION("""COMPUTED_VALUE"""),"DESIGN BORDIR")</f>
        <v>DESIGN BORDIR</v>
      </c>
      <c r="E87" s="28"/>
      <c r="F87" s="52">
        <f>IFERROR(__xludf.DUMMYFUNCTION("""COMPUTED_VALUE"""),0.0)</f>
        <v>0</v>
      </c>
      <c r="G87" s="30">
        <v>70000.0</v>
      </c>
      <c r="H87" s="31">
        <f t="shared" si="24"/>
        <v>0</v>
      </c>
      <c r="I87" s="31">
        <f t="shared" si="25"/>
        <v>0</v>
      </c>
      <c r="J87" s="32" t="str">
        <f t="shared" si="26"/>
        <v/>
      </c>
      <c r="K87" s="32"/>
      <c r="L87" s="33">
        <f t="shared" si="27"/>
        <v>0</v>
      </c>
      <c r="M87" s="32"/>
      <c r="N87" s="32"/>
      <c r="O87" s="34">
        <f t="shared" si="28"/>
        <v>0</v>
      </c>
      <c r="P87" s="44"/>
      <c r="Q87" s="44"/>
      <c r="R87" s="37">
        <f t="shared" si="29"/>
        <v>0</v>
      </c>
      <c r="S87" s="38">
        <f t="shared" si="30"/>
        <v>0</v>
      </c>
      <c r="T87" s="39"/>
      <c r="U87" s="42">
        <f>IFERROR(__xludf.DUMMYFUNCTION("""COMPUTED_VALUE"""),0.0)</f>
        <v>0</v>
      </c>
    </row>
    <row r="88" ht="37.5" customHeight="1">
      <c r="B88" s="25">
        <v>5.0</v>
      </c>
      <c r="C88" s="26" t="str">
        <f>IFERROR(__xludf.DUMMYFUNCTION("""COMPUTED_VALUE"""),"ADIT")</f>
        <v>ADIT</v>
      </c>
      <c r="D88" s="27" t="str">
        <f>IFERROR(__xludf.DUMMYFUNCTION("""COMPUTED_VALUE"""),"CREATOR")</f>
        <v>CREATOR</v>
      </c>
      <c r="E88" s="28"/>
      <c r="F88" s="52">
        <f>IFERROR(__xludf.DUMMYFUNCTION("""COMPUTED_VALUE"""),0.0)</f>
        <v>0</v>
      </c>
      <c r="G88" s="30">
        <v>50000.0</v>
      </c>
      <c r="H88" s="31">
        <f t="shared" si="24"/>
        <v>0</v>
      </c>
      <c r="I88" s="31">
        <f t="shared" si="25"/>
        <v>0</v>
      </c>
      <c r="J88" s="32" t="str">
        <f t="shared" si="26"/>
        <v/>
      </c>
      <c r="K88" s="32"/>
      <c r="L88" s="33">
        <f t="shared" si="27"/>
        <v>0</v>
      </c>
      <c r="M88" s="32"/>
      <c r="N88" s="32"/>
      <c r="O88" s="34">
        <f t="shared" si="28"/>
        <v>0</v>
      </c>
      <c r="P88" s="44"/>
      <c r="Q88" s="44"/>
      <c r="R88" s="37">
        <f t="shared" si="29"/>
        <v>0</v>
      </c>
      <c r="S88" s="38">
        <f t="shared" si="30"/>
        <v>0</v>
      </c>
      <c r="T88" s="39"/>
      <c r="U88" s="42">
        <f>IFERROR(__xludf.DUMMYFUNCTION("""COMPUTED_VALUE"""),0.0)</f>
        <v>0</v>
      </c>
    </row>
    <row r="89" ht="37.5" customHeight="1">
      <c r="B89" s="25">
        <v>6.0</v>
      </c>
      <c r="C89" s="26" t="str">
        <f>IFERROR(__xludf.DUMMYFUNCTION("""COMPUTED_VALUE"""),"WILI")</f>
        <v>WILI</v>
      </c>
      <c r="D89" s="27" t="str">
        <f>IFERROR(__xludf.DUMMYFUNCTION("""COMPUTED_VALUE"""),"OP MESIN")</f>
        <v>OP MESIN</v>
      </c>
      <c r="E89" s="28"/>
      <c r="F89" s="52">
        <f>IFERROR(__xludf.DUMMYFUNCTION("""COMPUTED_VALUE"""),0.0)</f>
        <v>0</v>
      </c>
      <c r="G89" s="30">
        <v>70000.0</v>
      </c>
      <c r="H89" s="31">
        <f t="shared" si="24"/>
        <v>0</v>
      </c>
      <c r="I89" s="31">
        <f t="shared" si="25"/>
        <v>0</v>
      </c>
      <c r="J89" s="32" t="str">
        <f t="shared" si="26"/>
        <v/>
      </c>
      <c r="K89" s="32"/>
      <c r="L89" s="33">
        <f t="shared" si="27"/>
        <v>0</v>
      </c>
      <c r="M89" s="32"/>
      <c r="N89" s="32"/>
      <c r="O89" s="34">
        <f t="shared" si="28"/>
        <v>0</v>
      </c>
      <c r="P89" s="44"/>
      <c r="Q89" s="44"/>
      <c r="R89" s="37">
        <f t="shared" si="29"/>
        <v>0</v>
      </c>
      <c r="S89" s="38">
        <f t="shared" si="30"/>
        <v>0</v>
      </c>
      <c r="T89" s="39"/>
      <c r="U89" s="42">
        <f>IFERROR(__xludf.DUMMYFUNCTION("""COMPUTED_VALUE"""),0.0)</f>
        <v>0</v>
      </c>
    </row>
    <row r="90" ht="37.5" customHeight="1">
      <c r="B90" s="25">
        <v>7.0</v>
      </c>
      <c r="C90" s="26" t="str">
        <f>IFERROR(__xludf.DUMMYFUNCTION("""COMPUTED_VALUE"""),"OGA")</f>
        <v>OGA</v>
      </c>
      <c r="D90" s="27" t="str">
        <f>IFERROR(__xludf.DUMMYFUNCTION("""COMPUTED_VALUE"""),"OP MESIN")</f>
        <v>OP MESIN</v>
      </c>
      <c r="E90" s="28"/>
      <c r="F90" s="52">
        <f>IFERROR(__xludf.DUMMYFUNCTION("""COMPUTED_VALUE"""),0.0)</f>
        <v>0</v>
      </c>
      <c r="G90" s="30">
        <v>70000.0</v>
      </c>
      <c r="H90" s="31">
        <f t="shared" si="24"/>
        <v>0</v>
      </c>
      <c r="I90" s="31">
        <f t="shared" si="25"/>
        <v>0</v>
      </c>
      <c r="J90" s="32" t="str">
        <f t="shared" si="26"/>
        <v/>
      </c>
      <c r="K90" s="32"/>
      <c r="L90" s="33">
        <f t="shared" si="27"/>
        <v>0</v>
      </c>
      <c r="M90" s="32"/>
      <c r="N90" s="32"/>
      <c r="O90" s="34">
        <f t="shared" si="28"/>
        <v>0</v>
      </c>
      <c r="P90" s="44"/>
      <c r="Q90" s="44"/>
      <c r="R90" s="37">
        <f t="shared" si="29"/>
        <v>0</v>
      </c>
      <c r="S90" s="38">
        <f t="shared" si="30"/>
        <v>0</v>
      </c>
      <c r="T90" s="39"/>
      <c r="U90" s="42">
        <f>IFERROR(__xludf.DUMMYFUNCTION("""COMPUTED_VALUE"""),0.0)</f>
        <v>0</v>
      </c>
    </row>
    <row r="91" ht="37.5" customHeight="1">
      <c r="B91" s="25">
        <v>8.0</v>
      </c>
      <c r="C91" s="26" t="str">
        <f>IFERROR(__xludf.DUMMYFUNCTION("""COMPUTED_VALUE"""),"ASEP")</f>
        <v>ASEP</v>
      </c>
      <c r="D91" s="27" t="str">
        <f>IFERROR(__xludf.DUMMYFUNCTION("""COMPUTED_VALUE"""),"OP MESIN")</f>
        <v>OP MESIN</v>
      </c>
      <c r="E91" s="28"/>
      <c r="F91" s="52">
        <f>IFERROR(__xludf.DUMMYFUNCTION("""COMPUTED_VALUE"""),0.0)</f>
        <v>0</v>
      </c>
      <c r="G91" s="30">
        <v>50000.0</v>
      </c>
      <c r="H91" s="31">
        <f t="shared" si="24"/>
        <v>0</v>
      </c>
      <c r="I91" s="31">
        <f t="shared" si="25"/>
        <v>0</v>
      </c>
      <c r="J91" s="32" t="str">
        <f t="shared" si="26"/>
        <v/>
      </c>
      <c r="K91" s="32"/>
      <c r="L91" s="33">
        <f t="shared" si="27"/>
        <v>0</v>
      </c>
      <c r="M91" s="32"/>
      <c r="N91" s="32"/>
      <c r="O91" s="34">
        <f t="shared" si="28"/>
        <v>0</v>
      </c>
      <c r="P91" s="44"/>
      <c r="Q91" s="44"/>
      <c r="R91" s="37">
        <f t="shared" si="29"/>
        <v>0</v>
      </c>
      <c r="S91" s="38">
        <f t="shared" si="30"/>
        <v>0</v>
      </c>
      <c r="T91" s="39"/>
      <c r="U91" s="42">
        <f>IFERROR(__xludf.DUMMYFUNCTION("""COMPUTED_VALUE"""),0.0)</f>
        <v>0</v>
      </c>
    </row>
    <row r="92" ht="37.5" customHeight="1">
      <c r="B92" s="25">
        <v>9.0</v>
      </c>
      <c r="C92" s="26" t="str">
        <f>IFERROR(__xludf.DUMMYFUNCTION("""COMPUTED_VALUE"""),"HIFNI")</f>
        <v>HIFNI</v>
      </c>
      <c r="D92" s="27" t="str">
        <f>IFERROR(__xludf.DUMMYFUNCTION("""COMPUTED_VALUE"""),"OP MESIN")</f>
        <v>OP MESIN</v>
      </c>
      <c r="E92" s="28"/>
      <c r="F92" s="52">
        <f>IFERROR(__xludf.DUMMYFUNCTION("""COMPUTED_VALUE"""),0.0)</f>
        <v>0</v>
      </c>
      <c r="G92" s="30">
        <v>50000.0</v>
      </c>
      <c r="H92" s="31">
        <f t="shared" si="24"/>
        <v>0</v>
      </c>
      <c r="I92" s="31">
        <f t="shared" si="25"/>
        <v>0</v>
      </c>
      <c r="J92" s="32" t="str">
        <f t="shared" si="26"/>
        <v/>
      </c>
      <c r="K92" s="32"/>
      <c r="L92" s="33">
        <f t="shared" si="27"/>
        <v>0</v>
      </c>
      <c r="M92" s="32"/>
      <c r="N92" s="32"/>
      <c r="O92" s="34">
        <f t="shared" si="28"/>
        <v>0</v>
      </c>
      <c r="P92" s="44"/>
      <c r="Q92" s="44"/>
      <c r="R92" s="37">
        <f t="shared" si="29"/>
        <v>0</v>
      </c>
      <c r="S92" s="38">
        <f t="shared" si="30"/>
        <v>0</v>
      </c>
      <c r="T92" s="39"/>
      <c r="U92" s="42">
        <f>IFERROR(__xludf.DUMMYFUNCTION("""COMPUTED_VALUE"""),0.0)</f>
        <v>0</v>
      </c>
    </row>
    <row r="93" ht="37.5" customHeight="1">
      <c r="B93" s="25">
        <v>10.0</v>
      </c>
      <c r="C93" s="26" t="str">
        <f>IFERROR(__xludf.DUMMYFUNCTION("""COMPUTED_VALUE"""),"IIS")</f>
        <v>IIS</v>
      </c>
      <c r="D93" s="27" t="str">
        <f>IFERROR(__xludf.DUMMYFUNCTION("""COMPUTED_VALUE"""),"PACKING")</f>
        <v>PACKING</v>
      </c>
      <c r="E93" s="28"/>
      <c r="F93" s="52">
        <f>IFERROR(__xludf.DUMMYFUNCTION("""COMPUTED_VALUE"""),0.0)</f>
        <v>0</v>
      </c>
      <c r="G93" s="45"/>
      <c r="H93" s="31">
        <f t="shared" si="24"/>
        <v>0</v>
      </c>
      <c r="I93" s="31">
        <f t="shared" si="25"/>
        <v>0</v>
      </c>
      <c r="J93" s="32" t="str">
        <f t="shared" si="26"/>
        <v/>
      </c>
      <c r="K93" s="32"/>
      <c r="L93" s="33">
        <f t="shared" si="27"/>
        <v>0</v>
      </c>
      <c r="M93" s="32"/>
      <c r="N93" s="32"/>
      <c r="O93" s="34">
        <f t="shared" si="28"/>
        <v>0</v>
      </c>
      <c r="P93" s="44"/>
      <c r="Q93" s="44"/>
      <c r="R93" s="37">
        <f t="shared" si="29"/>
        <v>0</v>
      </c>
      <c r="S93" s="38">
        <f t="shared" si="30"/>
        <v>0</v>
      </c>
      <c r="T93" s="39"/>
      <c r="U93" s="42">
        <f>IFERROR(__xludf.DUMMYFUNCTION("""COMPUTED_VALUE"""),0.0)</f>
        <v>0</v>
      </c>
    </row>
    <row r="94" ht="37.5" customHeight="1">
      <c r="B94" s="25">
        <v>11.0</v>
      </c>
      <c r="C94" s="26"/>
      <c r="D94" s="27"/>
      <c r="E94" s="28"/>
      <c r="F94" s="52">
        <f>IFERROR(__xludf.DUMMYFUNCTION("""COMPUTED_VALUE"""),0.0)</f>
        <v>0</v>
      </c>
      <c r="G94" s="45"/>
      <c r="H94" s="31">
        <f t="shared" si="24"/>
        <v>0</v>
      </c>
      <c r="I94" s="31">
        <f t="shared" si="25"/>
        <v>0</v>
      </c>
      <c r="J94" s="32" t="str">
        <f t="shared" si="26"/>
        <v/>
      </c>
      <c r="K94" s="32"/>
      <c r="L94" s="33">
        <f t="shared" si="27"/>
        <v>0</v>
      </c>
      <c r="M94" s="32"/>
      <c r="N94" s="32"/>
      <c r="O94" s="34">
        <f t="shared" si="28"/>
        <v>0</v>
      </c>
      <c r="P94" s="44"/>
      <c r="Q94" s="44"/>
      <c r="R94" s="37">
        <f t="shared" si="29"/>
        <v>0</v>
      </c>
      <c r="S94" s="38">
        <f t="shared" si="30"/>
        <v>0</v>
      </c>
      <c r="T94" s="39"/>
      <c r="U94" s="42">
        <f>IFERROR(__xludf.DUMMYFUNCTION("""COMPUTED_VALUE"""),0.0)</f>
        <v>0</v>
      </c>
    </row>
    <row r="95" ht="37.5" customHeight="1">
      <c r="B95" s="25">
        <v>12.0</v>
      </c>
      <c r="C95" s="26"/>
      <c r="D95" s="27"/>
      <c r="E95" s="28"/>
      <c r="F95" s="52">
        <f>IFERROR(__xludf.DUMMYFUNCTION("""COMPUTED_VALUE"""),0.0)</f>
        <v>0</v>
      </c>
      <c r="G95" s="45"/>
      <c r="H95" s="31">
        <f t="shared" si="24"/>
        <v>0</v>
      </c>
      <c r="I95" s="31">
        <f t="shared" si="25"/>
        <v>0</v>
      </c>
      <c r="J95" s="32" t="str">
        <f t="shared" si="26"/>
        <v/>
      </c>
      <c r="K95" s="32"/>
      <c r="L95" s="33">
        <f t="shared" si="27"/>
        <v>0</v>
      </c>
      <c r="M95" s="32"/>
      <c r="N95" s="32"/>
      <c r="O95" s="34">
        <f t="shared" si="28"/>
        <v>0</v>
      </c>
      <c r="P95" s="44"/>
      <c r="Q95" s="44"/>
      <c r="R95" s="37">
        <f t="shared" si="29"/>
        <v>0</v>
      </c>
      <c r="S95" s="38">
        <f t="shared" si="30"/>
        <v>0</v>
      </c>
      <c r="T95" s="39"/>
      <c r="U95" s="42">
        <f>IFERROR(__xludf.DUMMYFUNCTION("""COMPUTED_VALUE"""),0.0)</f>
        <v>0</v>
      </c>
    </row>
    <row r="96" ht="37.5" customHeight="1">
      <c r="B96" s="25">
        <v>13.0</v>
      </c>
      <c r="C96" s="26"/>
      <c r="D96" s="27"/>
      <c r="E96" s="28"/>
      <c r="F96" s="52">
        <f>IFERROR(__xludf.DUMMYFUNCTION("""COMPUTED_VALUE"""),0.0)</f>
        <v>0</v>
      </c>
      <c r="G96" s="45"/>
      <c r="H96" s="31">
        <f t="shared" si="24"/>
        <v>0</v>
      </c>
      <c r="I96" s="31">
        <f t="shared" si="25"/>
        <v>0</v>
      </c>
      <c r="J96" s="32" t="str">
        <f t="shared" si="26"/>
        <v/>
      </c>
      <c r="K96" s="32"/>
      <c r="L96" s="33">
        <f t="shared" si="27"/>
        <v>0</v>
      </c>
      <c r="M96" s="32"/>
      <c r="N96" s="32"/>
      <c r="O96" s="34">
        <f t="shared" si="28"/>
        <v>0</v>
      </c>
      <c r="P96" s="44"/>
      <c r="Q96" s="44"/>
      <c r="R96" s="37">
        <f t="shared" si="29"/>
        <v>0</v>
      </c>
      <c r="S96" s="38">
        <f t="shared" si="30"/>
        <v>0</v>
      </c>
      <c r="T96" s="39"/>
      <c r="U96" s="42">
        <f>IFERROR(__xludf.DUMMYFUNCTION("""COMPUTED_VALUE"""),0.0)</f>
        <v>0</v>
      </c>
    </row>
    <row r="97" ht="37.5" customHeight="1">
      <c r="B97" s="25">
        <v>14.0</v>
      </c>
      <c r="C97" s="26"/>
      <c r="D97" s="27"/>
      <c r="E97" s="28"/>
      <c r="F97" s="52">
        <f>IFERROR(__xludf.DUMMYFUNCTION("""COMPUTED_VALUE"""),0.0)</f>
        <v>0</v>
      </c>
      <c r="G97" s="45"/>
      <c r="H97" s="31">
        <f t="shared" si="24"/>
        <v>0</v>
      </c>
      <c r="I97" s="31">
        <f t="shared" si="25"/>
        <v>0</v>
      </c>
      <c r="J97" s="32" t="str">
        <f t="shared" si="26"/>
        <v/>
      </c>
      <c r="K97" s="32"/>
      <c r="L97" s="33">
        <f t="shared" si="27"/>
        <v>0</v>
      </c>
      <c r="M97" s="32"/>
      <c r="N97" s="32"/>
      <c r="O97" s="34">
        <f t="shared" si="28"/>
        <v>0</v>
      </c>
      <c r="P97" s="44"/>
      <c r="Q97" s="44"/>
      <c r="R97" s="37">
        <f t="shared" si="29"/>
        <v>0</v>
      </c>
      <c r="S97" s="38">
        <f t="shared" si="30"/>
        <v>0</v>
      </c>
      <c r="T97" s="39"/>
      <c r="U97" s="42">
        <f>IFERROR(__xludf.DUMMYFUNCTION("""COMPUTED_VALUE"""),0.0)</f>
        <v>0</v>
      </c>
    </row>
    <row r="98" ht="37.5" customHeight="1">
      <c r="B98" s="25">
        <v>15.0</v>
      </c>
      <c r="C98" s="26"/>
      <c r="D98" s="27"/>
      <c r="E98" s="28"/>
      <c r="F98" s="52">
        <f>IFERROR(__xludf.DUMMYFUNCTION("""COMPUTED_VALUE"""),0.0)</f>
        <v>0</v>
      </c>
      <c r="G98" s="45"/>
      <c r="H98" s="31">
        <f t="shared" si="24"/>
        <v>0</v>
      </c>
      <c r="I98" s="31">
        <f t="shared" si="25"/>
        <v>0</v>
      </c>
      <c r="J98" s="32" t="str">
        <f t="shared" si="26"/>
        <v/>
      </c>
      <c r="K98" s="32"/>
      <c r="L98" s="33">
        <f t="shared" si="27"/>
        <v>0</v>
      </c>
      <c r="M98" s="32"/>
      <c r="N98" s="32"/>
      <c r="O98" s="34">
        <f t="shared" si="28"/>
        <v>0</v>
      </c>
      <c r="P98" s="44"/>
      <c r="Q98" s="44"/>
      <c r="R98" s="37">
        <f t="shared" si="29"/>
        <v>0</v>
      </c>
      <c r="S98" s="38">
        <f t="shared" si="30"/>
        <v>0</v>
      </c>
      <c r="T98" s="39"/>
      <c r="U98" s="42">
        <f>IFERROR(__xludf.DUMMYFUNCTION("""COMPUTED_VALUE"""),0.0)</f>
        <v>0</v>
      </c>
    </row>
    <row r="99" ht="37.5" customHeight="1">
      <c r="B99" s="25">
        <v>16.0</v>
      </c>
      <c r="C99" s="26"/>
      <c r="D99" s="27"/>
      <c r="E99" s="28"/>
      <c r="F99" s="52">
        <f>IFERROR(__xludf.DUMMYFUNCTION("""COMPUTED_VALUE"""),0.0)</f>
        <v>0</v>
      </c>
      <c r="G99" s="45"/>
      <c r="H99" s="31">
        <f t="shared" si="24"/>
        <v>0</v>
      </c>
      <c r="I99" s="31">
        <f t="shared" si="25"/>
        <v>0</v>
      </c>
      <c r="J99" s="32" t="str">
        <f t="shared" si="26"/>
        <v/>
      </c>
      <c r="K99" s="32"/>
      <c r="L99" s="33">
        <f t="shared" si="27"/>
        <v>0</v>
      </c>
      <c r="M99" s="32"/>
      <c r="N99" s="32"/>
      <c r="O99" s="34">
        <f t="shared" si="28"/>
        <v>0</v>
      </c>
      <c r="P99" s="44"/>
      <c r="Q99" s="44"/>
      <c r="R99" s="37">
        <f t="shared" si="29"/>
        <v>0</v>
      </c>
      <c r="S99" s="38">
        <f t="shared" si="30"/>
        <v>0</v>
      </c>
      <c r="T99" s="39"/>
      <c r="U99" s="42">
        <f>IFERROR(__xludf.DUMMYFUNCTION("""COMPUTED_VALUE"""),0.0)</f>
        <v>0</v>
      </c>
    </row>
    <row r="100" ht="37.5" customHeight="1">
      <c r="B100" s="25">
        <v>17.0</v>
      </c>
      <c r="C100" s="49"/>
      <c r="D100" s="50"/>
      <c r="E100" s="51"/>
      <c r="F100" s="52">
        <f>IFERROR(__xludf.DUMMYFUNCTION("""COMPUTED_VALUE"""),0.0)</f>
        <v>0</v>
      </c>
      <c r="G100" s="45"/>
      <c r="H100" s="31">
        <f t="shared" si="24"/>
        <v>0</v>
      </c>
      <c r="I100" s="31">
        <f t="shared" si="25"/>
        <v>0</v>
      </c>
      <c r="J100" s="32" t="str">
        <f t="shared" si="26"/>
        <v/>
      </c>
      <c r="K100" s="32"/>
      <c r="L100" s="33">
        <f t="shared" si="27"/>
        <v>0</v>
      </c>
      <c r="M100" s="32"/>
      <c r="N100" s="32"/>
      <c r="O100" s="34">
        <f t="shared" si="28"/>
        <v>0</v>
      </c>
      <c r="P100" s="44"/>
      <c r="Q100" s="44"/>
      <c r="R100" s="37">
        <f t="shared" si="29"/>
        <v>0</v>
      </c>
      <c r="S100" s="38">
        <f t="shared" si="30"/>
        <v>0</v>
      </c>
      <c r="T100" s="39"/>
      <c r="U100" s="42">
        <f>IFERROR(__xludf.DUMMYFUNCTION("""COMPUTED_VALUE"""),0.0)</f>
        <v>0</v>
      </c>
    </row>
    <row r="101" ht="37.5" customHeight="1">
      <c r="B101" s="25">
        <v>18.0</v>
      </c>
      <c r="C101" s="49"/>
      <c r="D101" s="51"/>
      <c r="E101" s="51"/>
      <c r="F101" s="42">
        <f>IFERROR(__xludf.DUMMYFUNCTION("""COMPUTED_VALUE"""),0.0)</f>
        <v>0</v>
      </c>
      <c r="G101" s="53"/>
      <c r="H101" s="31">
        <f t="shared" si="24"/>
        <v>0</v>
      </c>
      <c r="I101" s="31">
        <f t="shared" si="25"/>
        <v>0</v>
      </c>
      <c r="J101" s="32" t="str">
        <f t="shared" si="26"/>
        <v/>
      </c>
      <c r="K101" s="32"/>
      <c r="L101" s="33">
        <f t="shared" si="27"/>
        <v>0</v>
      </c>
      <c r="M101" s="32"/>
      <c r="N101" s="32"/>
      <c r="O101" s="34">
        <f t="shared" si="28"/>
        <v>0</v>
      </c>
      <c r="P101" s="44"/>
      <c r="Q101" s="44"/>
      <c r="R101" s="37">
        <f t="shared" si="29"/>
        <v>0</v>
      </c>
      <c r="S101" s="38">
        <f t="shared" si="30"/>
        <v>0</v>
      </c>
      <c r="T101" s="51"/>
      <c r="U101" s="42">
        <f>IFERROR(__xludf.DUMMYFUNCTION("""COMPUTED_VALUE"""),0.0)</f>
        <v>0</v>
      </c>
    </row>
    <row r="102" ht="37.5" customHeight="1">
      <c r="B102" s="25">
        <v>19.0</v>
      </c>
      <c r="C102" s="49"/>
      <c r="D102" s="51"/>
      <c r="E102" s="51"/>
      <c r="F102" s="42">
        <f>IFERROR(__xludf.DUMMYFUNCTION("""COMPUTED_VALUE"""),0.0)</f>
        <v>0</v>
      </c>
      <c r="G102" s="53"/>
      <c r="H102" s="31">
        <f t="shared" si="24"/>
        <v>0</v>
      </c>
      <c r="I102" s="31">
        <f t="shared" si="25"/>
        <v>0</v>
      </c>
      <c r="J102" s="32" t="str">
        <f t="shared" si="26"/>
        <v/>
      </c>
      <c r="K102" s="32"/>
      <c r="L102" s="33">
        <f t="shared" si="27"/>
        <v>0</v>
      </c>
      <c r="M102" s="32"/>
      <c r="N102" s="32"/>
      <c r="O102" s="34">
        <f t="shared" si="28"/>
        <v>0</v>
      </c>
      <c r="P102" s="44"/>
      <c r="Q102" s="44"/>
      <c r="R102" s="37">
        <f t="shared" si="29"/>
        <v>0</v>
      </c>
      <c r="S102" s="38">
        <f t="shared" si="30"/>
        <v>0</v>
      </c>
      <c r="T102" s="51"/>
      <c r="U102" s="42">
        <f>IFERROR(__xludf.DUMMYFUNCTION("""COMPUTED_VALUE"""),0.0)</f>
        <v>0</v>
      </c>
    </row>
    <row r="103" ht="37.5" customHeight="1">
      <c r="B103" s="25">
        <v>20.0</v>
      </c>
      <c r="C103" s="49"/>
      <c r="D103" s="51"/>
      <c r="E103" s="51"/>
      <c r="F103" s="42"/>
      <c r="G103" s="53"/>
      <c r="H103" s="31">
        <f t="shared" si="24"/>
        <v>0</v>
      </c>
      <c r="I103" s="31">
        <f t="shared" si="25"/>
        <v>0</v>
      </c>
      <c r="J103" s="32" t="str">
        <f t="shared" si="26"/>
        <v/>
      </c>
      <c r="K103" s="32"/>
      <c r="L103" s="33">
        <f t="shared" si="27"/>
        <v>0</v>
      </c>
      <c r="M103" s="32"/>
      <c r="N103" s="32"/>
      <c r="O103" s="34">
        <f t="shared" si="28"/>
        <v>0</v>
      </c>
      <c r="P103" s="44"/>
      <c r="Q103" s="44"/>
      <c r="R103" s="37">
        <f t="shared" si="29"/>
        <v>0</v>
      </c>
      <c r="S103" s="38">
        <f t="shared" si="30"/>
        <v>0</v>
      </c>
      <c r="T103" s="51"/>
      <c r="U103" s="42"/>
    </row>
    <row r="104" ht="37.5" customHeight="1">
      <c r="B104" s="25">
        <v>21.0</v>
      </c>
      <c r="C104" s="49"/>
      <c r="D104" s="51"/>
      <c r="E104" s="51"/>
      <c r="F104" s="42"/>
      <c r="G104" s="53"/>
      <c r="H104" s="31">
        <f t="shared" si="24"/>
        <v>0</v>
      </c>
      <c r="I104" s="31">
        <f t="shared" si="25"/>
        <v>0</v>
      </c>
      <c r="J104" s="32" t="str">
        <f t="shared" si="26"/>
        <v/>
      </c>
      <c r="K104" s="32"/>
      <c r="L104" s="33">
        <f t="shared" si="27"/>
        <v>0</v>
      </c>
      <c r="M104" s="32"/>
      <c r="N104" s="32"/>
      <c r="O104" s="34">
        <f t="shared" si="28"/>
        <v>0</v>
      </c>
      <c r="P104" s="44"/>
      <c r="Q104" s="44"/>
      <c r="R104" s="37">
        <f t="shared" si="29"/>
        <v>0</v>
      </c>
      <c r="S104" s="38">
        <f t="shared" si="30"/>
        <v>0</v>
      </c>
      <c r="T104" s="51"/>
      <c r="U104" s="42"/>
    </row>
    <row r="105" ht="37.5" customHeight="1">
      <c r="B105" s="25">
        <v>22.0</v>
      </c>
      <c r="C105" s="49"/>
      <c r="D105" s="51"/>
      <c r="E105" s="51"/>
      <c r="F105" s="42"/>
      <c r="G105" s="53"/>
      <c r="H105" s="31">
        <f t="shared" si="24"/>
        <v>0</v>
      </c>
      <c r="I105" s="31">
        <f t="shared" si="25"/>
        <v>0</v>
      </c>
      <c r="J105" s="32" t="str">
        <f t="shared" si="26"/>
        <v/>
      </c>
      <c r="K105" s="32"/>
      <c r="L105" s="33">
        <f t="shared" si="27"/>
        <v>0</v>
      </c>
      <c r="M105" s="32"/>
      <c r="N105" s="32"/>
      <c r="O105" s="34">
        <f t="shared" si="28"/>
        <v>0</v>
      </c>
      <c r="P105" s="44"/>
      <c r="Q105" s="44"/>
      <c r="R105" s="37">
        <f t="shared" si="29"/>
        <v>0</v>
      </c>
      <c r="S105" s="38">
        <f t="shared" si="30"/>
        <v>0</v>
      </c>
      <c r="T105" s="51"/>
      <c r="U105" s="42"/>
    </row>
    <row r="106" ht="37.5" customHeight="1">
      <c r="B106" s="54"/>
      <c r="F106" s="55" t="s">
        <v>21</v>
      </c>
      <c r="S106" s="56">
        <f>SUM(S84:S105)</f>
        <v>0</v>
      </c>
      <c r="T106" s="57"/>
      <c r="U106" s="58"/>
    </row>
    <row r="107" ht="37.5" customHeight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</row>
    <row r="108" ht="37.5" customHeight="1">
      <c r="B108" s="21" t="str">
        <f>IFERROR(__xludf.DUMMYFUNCTION("IMPORTRANGE(""https://docs.google.com/spreadsheets/d/17TnzcKnlaqlAyM_3lnNpgK5CAOPbscCCRVH50X8UulY/edit?usp=sharing"",""DESEMBER!B94"")"),"TANGGAL :  28-31 DESEMBER 2026")</f>
        <v>TANGGAL :  28-31 DESEMBER 2026</v>
      </c>
      <c r="F108" s="22"/>
      <c r="G108" s="22"/>
      <c r="H108" s="22"/>
      <c r="I108" s="22"/>
      <c r="J108" s="22"/>
      <c r="K108" s="22"/>
      <c r="L108" s="23">
        <v>15000.0</v>
      </c>
      <c r="M108" s="22"/>
      <c r="N108" s="22"/>
      <c r="O108" s="22"/>
      <c r="P108" s="22"/>
      <c r="Q108" s="22"/>
      <c r="R108" s="22"/>
      <c r="S108" s="22"/>
      <c r="T108" s="22"/>
      <c r="U108" s="22"/>
    </row>
    <row r="109" ht="37.5" customHeight="1">
      <c r="A109" s="24"/>
      <c r="B109" s="25">
        <v>1.0</v>
      </c>
      <c r="C109" s="26" t="str">
        <f>IFERROR(__xludf.DUMMYFUNCTION("IMPORTRANGE(""https://docs.google.com/spreadsheets/d/17TnzcKnlaqlAyM_3lnNpgK5CAOPbscCCRVH50X8UulY/edit?usp=sharing"",""DESEMBER!B95:D113"")"),"EPUL")</f>
        <v>EPUL</v>
      </c>
      <c r="D109" s="27" t="str">
        <f>IFERROR(__xludf.DUMMYFUNCTION("""COMPUTED_VALUE"""),"KEPALA")</f>
        <v>KEPALA</v>
      </c>
      <c r="E109" s="28"/>
      <c r="F109" s="52">
        <f>IFERROR(__xludf.DUMMYFUNCTION("IMPORTRANGE(""https://docs.google.com/spreadsheets/d/17TnzcKnlaqlAyM_3lnNpgK5CAOPbscCCRVH50X8UulY/edit?usp=sharing"",""DESEMBER!K95:K113"")"),0.0)</f>
        <v>0</v>
      </c>
      <c r="G109" s="30">
        <v>110000.0</v>
      </c>
      <c r="H109" s="31">
        <f t="shared" ref="H109:H130" si="31">F109*G109</f>
        <v>0</v>
      </c>
      <c r="I109" s="31">
        <f t="shared" ref="I109:I130" si="32">F109*10000</f>
        <v>0</v>
      </c>
      <c r="J109" s="32" t="str">
        <f t="shared" ref="J109:J130" si="33">IF(E109="SHIFT 2",I109,"")</f>
        <v/>
      </c>
      <c r="K109" s="32"/>
      <c r="L109" s="33">
        <f t="shared" ref="L109:L130" si="34">U109*$L$108</f>
        <v>0</v>
      </c>
      <c r="M109" s="32"/>
      <c r="N109" s="32"/>
      <c r="O109" s="34">
        <f t="shared" ref="O109:O130" si="35">SUM(H109:N109)</f>
        <v>0</v>
      </c>
      <c r="P109" s="44"/>
      <c r="Q109" s="44"/>
      <c r="R109" s="37">
        <f t="shared" ref="R109:R130" si="36">SUM(P109:Q109)</f>
        <v>0</v>
      </c>
      <c r="S109" s="38">
        <f t="shared" ref="S109:S130" si="37">O109-R109</f>
        <v>0</v>
      </c>
      <c r="T109" s="39" t="str">
        <f>IFERROR(__xludf.DUMMYFUNCTION("IMPORTRANGE(""https://docs.google.com/spreadsheets/d/17TnzcKnlaqlAyM_3lnNpgK5CAOPbscCCRVH50X8UulY/edit?usp=sharing"",""DESEMBER!L95:L114"")"),"")</f>
        <v/>
      </c>
      <c r="U109" s="42">
        <f>IFERROR(__xludf.DUMMYFUNCTION("IMPORTRANGE(""https://docs.google.com/spreadsheets/d/17TnzcKnlaqlAyM_3lnNpgK5CAOPbscCCRVH50X8UulY/edit?usp=sharing"",""DESEMBER!U95:U114"")"),0.0)</f>
        <v>0</v>
      </c>
      <c r="V109" s="24"/>
      <c r="W109" s="24"/>
    </row>
    <row r="110" ht="37.5" customHeight="1">
      <c r="A110" s="24"/>
      <c r="B110" s="25">
        <v>2.0</v>
      </c>
      <c r="C110" s="26" t="str">
        <f>IFERROR(__xludf.DUMMYFUNCTION("""COMPUTED_VALUE"""),"HISMI")</f>
        <v>HISMI</v>
      </c>
      <c r="D110" s="27" t="str">
        <f>IFERROR(__xludf.DUMMYFUNCTION("""COMPUTED_VALUE"""),"ADMIN")</f>
        <v>ADMIN</v>
      </c>
      <c r="E110" s="28"/>
      <c r="F110" s="52">
        <f>IFERROR(__xludf.DUMMYFUNCTION("""COMPUTED_VALUE"""),0.0)</f>
        <v>0</v>
      </c>
      <c r="G110" s="30">
        <v>70000.0</v>
      </c>
      <c r="H110" s="31">
        <f t="shared" si="31"/>
        <v>0</v>
      </c>
      <c r="I110" s="31">
        <f t="shared" si="32"/>
        <v>0</v>
      </c>
      <c r="J110" s="32" t="str">
        <f t="shared" si="33"/>
        <v/>
      </c>
      <c r="K110" s="41"/>
      <c r="L110" s="33">
        <f t="shared" si="34"/>
        <v>0</v>
      </c>
      <c r="M110" s="41"/>
      <c r="N110" s="41"/>
      <c r="O110" s="34">
        <f t="shared" si="35"/>
        <v>0</v>
      </c>
      <c r="P110" s="44"/>
      <c r="Q110" s="44"/>
      <c r="R110" s="37">
        <f t="shared" si="36"/>
        <v>0</v>
      </c>
      <c r="S110" s="38">
        <f t="shared" si="37"/>
        <v>0</v>
      </c>
      <c r="T110" s="39"/>
      <c r="U110" s="42">
        <f>IFERROR(__xludf.DUMMYFUNCTION("""COMPUTED_VALUE"""),0.0)</f>
        <v>0</v>
      </c>
      <c r="V110" s="24"/>
      <c r="W110" s="24"/>
    </row>
    <row r="111" ht="37.5" customHeight="1">
      <c r="A111" s="24"/>
      <c r="B111" s="25">
        <v>3.0</v>
      </c>
      <c r="C111" s="26"/>
      <c r="D111" s="27" t="str">
        <f>IFERROR(__xludf.DUMMYFUNCTION("""COMPUTED_VALUE"""),"ADMIN")</f>
        <v>ADMIN</v>
      </c>
      <c r="E111" s="28"/>
      <c r="F111" s="52">
        <f>IFERROR(__xludf.DUMMYFUNCTION("""COMPUTED_VALUE"""),0.0)</f>
        <v>0</v>
      </c>
      <c r="G111" s="30">
        <v>70000.0</v>
      </c>
      <c r="H111" s="31">
        <f t="shared" si="31"/>
        <v>0</v>
      </c>
      <c r="I111" s="31">
        <f t="shared" si="32"/>
        <v>0</v>
      </c>
      <c r="J111" s="32" t="str">
        <f t="shared" si="33"/>
        <v/>
      </c>
      <c r="K111" s="41"/>
      <c r="L111" s="33">
        <f t="shared" si="34"/>
        <v>0</v>
      </c>
      <c r="M111" s="41"/>
      <c r="N111" s="41"/>
      <c r="O111" s="34">
        <f t="shared" si="35"/>
        <v>0</v>
      </c>
      <c r="P111" s="44"/>
      <c r="Q111" s="44"/>
      <c r="R111" s="37">
        <f t="shared" si="36"/>
        <v>0</v>
      </c>
      <c r="S111" s="38">
        <f t="shared" si="37"/>
        <v>0</v>
      </c>
      <c r="T111" s="39"/>
      <c r="U111" s="42">
        <f>IFERROR(__xludf.DUMMYFUNCTION("""COMPUTED_VALUE"""),0.0)</f>
        <v>0</v>
      </c>
      <c r="V111" s="24"/>
      <c r="W111" s="24"/>
    </row>
    <row r="112" ht="37.5" customHeight="1">
      <c r="B112" s="25">
        <v>4.0</v>
      </c>
      <c r="C112" s="26" t="str">
        <f>IFERROR(__xludf.DUMMYFUNCTION("""COMPUTED_VALUE"""),"ANDRI")</f>
        <v>ANDRI</v>
      </c>
      <c r="D112" s="27" t="str">
        <f>IFERROR(__xludf.DUMMYFUNCTION("""COMPUTED_VALUE"""),"DESIGN BORDIR")</f>
        <v>DESIGN BORDIR</v>
      </c>
      <c r="E112" s="28"/>
      <c r="F112" s="52">
        <f>IFERROR(__xludf.DUMMYFUNCTION("""COMPUTED_VALUE"""),0.0)</f>
        <v>0</v>
      </c>
      <c r="G112" s="30">
        <v>70000.0</v>
      </c>
      <c r="H112" s="31">
        <f t="shared" si="31"/>
        <v>0</v>
      </c>
      <c r="I112" s="31">
        <f t="shared" si="32"/>
        <v>0</v>
      </c>
      <c r="J112" s="32" t="str">
        <f t="shared" si="33"/>
        <v/>
      </c>
      <c r="K112" s="32"/>
      <c r="L112" s="33">
        <f t="shared" si="34"/>
        <v>0</v>
      </c>
      <c r="M112" s="32"/>
      <c r="N112" s="32"/>
      <c r="O112" s="34">
        <f t="shared" si="35"/>
        <v>0</v>
      </c>
      <c r="P112" s="44"/>
      <c r="Q112" s="44"/>
      <c r="R112" s="37">
        <f t="shared" si="36"/>
        <v>0</v>
      </c>
      <c r="S112" s="38">
        <f t="shared" si="37"/>
        <v>0</v>
      </c>
      <c r="T112" s="39"/>
      <c r="U112" s="42">
        <f>IFERROR(__xludf.DUMMYFUNCTION("""COMPUTED_VALUE"""),0.0)</f>
        <v>0</v>
      </c>
    </row>
    <row r="113" ht="37.5" customHeight="1">
      <c r="B113" s="25">
        <v>5.0</v>
      </c>
      <c r="C113" s="26" t="str">
        <f>IFERROR(__xludf.DUMMYFUNCTION("""COMPUTED_VALUE"""),"ADIT")</f>
        <v>ADIT</v>
      </c>
      <c r="D113" s="27" t="str">
        <f>IFERROR(__xludf.DUMMYFUNCTION("""COMPUTED_VALUE"""),"CREATOR")</f>
        <v>CREATOR</v>
      </c>
      <c r="E113" s="28"/>
      <c r="F113" s="52">
        <f>IFERROR(__xludf.DUMMYFUNCTION("""COMPUTED_VALUE"""),0.0)</f>
        <v>0</v>
      </c>
      <c r="G113" s="30">
        <v>50000.0</v>
      </c>
      <c r="H113" s="31">
        <f t="shared" si="31"/>
        <v>0</v>
      </c>
      <c r="I113" s="31">
        <f t="shared" si="32"/>
        <v>0</v>
      </c>
      <c r="J113" s="32" t="str">
        <f t="shared" si="33"/>
        <v/>
      </c>
      <c r="K113" s="32"/>
      <c r="L113" s="33">
        <f t="shared" si="34"/>
        <v>0</v>
      </c>
      <c r="M113" s="32"/>
      <c r="N113" s="32"/>
      <c r="O113" s="34">
        <f t="shared" si="35"/>
        <v>0</v>
      </c>
      <c r="P113" s="44"/>
      <c r="Q113" s="44"/>
      <c r="R113" s="37">
        <f t="shared" si="36"/>
        <v>0</v>
      </c>
      <c r="S113" s="38">
        <f t="shared" si="37"/>
        <v>0</v>
      </c>
      <c r="T113" s="39"/>
      <c r="U113" s="42">
        <f>IFERROR(__xludf.DUMMYFUNCTION("""COMPUTED_VALUE"""),0.0)</f>
        <v>0</v>
      </c>
    </row>
    <row r="114" ht="37.5" customHeight="1">
      <c r="B114" s="25">
        <v>6.0</v>
      </c>
      <c r="C114" s="26" t="str">
        <f>IFERROR(__xludf.DUMMYFUNCTION("""COMPUTED_VALUE"""),"WILI")</f>
        <v>WILI</v>
      </c>
      <c r="D114" s="27" t="str">
        <f>IFERROR(__xludf.DUMMYFUNCTION("""COMPUTED_VALUE"""),"OP MESIN")</f>
        <v>OP MESIN</v>
      </c>
      <c r="E114" s="28"/>
      <c r="F114" s="52">
        <f>IFERROR(__xludf.DUMMYFUNCTION("""COMPUTED_VALUE"""),0.0)</f>
        <v>0</v>
      </c>
      <c r="G114" s="30">
        <v>70000.0</v>
      </c>
      <c r="H114" s="31">
        <f t="shared" si="31"/>
        <v>0</v>
      </c>
      <c r="I114" s="31">
        <f t="shared" si="32"/>
        <v>0</v>
      </c>
      <c r="J114" s="32" t="str">
        <f t="shared" si="33"/>
        <v/>
      </c>
      <c r="K114" s="32"/>
      <c r="L114" s="33">
        <f t="shared" si="34"/>
        <v>0</v>
      </c>
      <c r="M114" s="32"/>
      <c r="N114" s="32"/>
      <c r="O114" s="34">
        <f t="shared" si="35"/>
        <v>0</v>
      </c>
      <c r="P114" s="44"/>
      <c r="Q114" s="44"/>
      <c r="R114" s="37">
        <f t="shared" si="36"/>
        <v>0</v>
      </c>
      <c r="S114" s="38">
        <f t="shared" si="37"/>
        <v>0</v>
      </c>
      <c r="T114" s="39"/>
      <c r="U114" s="42">
        <f>IFERROR(__xludf.DUMMYFUNCTION("""COMPUTED_VALUE"""),0.0)</f>
        <v>0</v>
      </c>
    </row>
    <row r="115" ht="37.5" customHeight="1">
      <c r="B115" s="25">
        <v>7.0</v>
      </c>
      <c r="C115" s="26" t="str">
        <f>IFERROR(__xludf.DUMMYFUNCTION("""COMPUTED_VALUE"""),"OGA")</f>
        <v>OGA</v>
      </c>
      <c r="D115" s="27" t="str">
        <f>IFERROR(__xludf.DUMMYFUNCTION("""COMPUTED_VALUE"""),"OP MESIN")</f>
        <v>OP MESIN</v>
      </c>
      <c r="E115" s="28"/>
      <c r="F115" s="52">
        <f>IFERROR(__xludf.DUMMYFUNCTION("""COMPUTED_VALUE"""),0.0)</f>
        <v>0</v>
      </c>
      <c r="G115" s="30">
        <v>70000.0</v>
      </c>
      <c r="H115" s="31">
        <f t="shared" si="31"/>
        <v>0</v>
      </c>
      <c r="I115" s="31">
        <f t="shared" si="32"/>
        <v>0</v>
      </c>
      <c r="J115" s="32" t="str">
        <f t="shared" si="33"/>
        <v/>
      </c>
      <c r="K115" s="32"/>
      <c r="L115" s="33">
        <f t="shared" si="34"/>
        <v>0</v>
      </c>
      <c r="M115" s="32"/>
      <c r="N115" s="32"/>
      <c r="O115" s="34">
        <f t="shared" si="35"/>
        <v>0</v>
      </c>
      <c r="P115" s="44"/>
      <c r="Q115" s="44"/>
      <c r="R115" s="37">
        <f t="shared" si="36"/>
        <v>0</v>
      </c>
      <c r="S115" s="38">
        <f t="shared" si="37"/>
        <v>0</v>
      </c>
      <c r="T115" s="39"/>
      <c r="U115" s="42">
        <f>IFERROR(__xludf.DUMMYFUNCTION("""COMPUTED_VALUE"""),0.0)</f>
        <v>0</v>
      </c>
    </row>
    <row r="116" ht="37.5" customHeight="1">
      <c r="B116" s="25">
        <v>8.0</v>
      </c>
      <c r="C116" s="26" t="str">
        <f>IFERROR(__xludf.DUMMYFUNCTION("""COMPUTED_VALUE"""),"ASEP")</f>
        <v>ASEP</v>
      </c>
      <c r="D116" s="27" t="str">
        <f>IFERROR(__xludf.DUMMYFUNCTION("""COMPUTED_VALUE"""),"OP MESIN")</f>
        <v>OP MESIN</v>
      </c>
      <c r="E116" s="28"/>
      <c r="F116" s="52">
        <f>IFERROR(__xludf.DUMMYFUNCTION("""COMPUTED_VALUE"""),0.0)</f>
        <v>0</v>
      </c>
      <c r="G116" s="30">
        <v>50000.0</v>
      </c>
      <c r="H116" s="31">
        <f t="shared" si="31"/>
        <v>0</v>
      </c>
      <c r="I116" s="31">
        <f t="shared" si="32"/>
        <v>0</v>
      </c>
      <c r="J116" s="32" t="str">
        <f t="shared" si="33"/>
        <v/>
      </c>
      <c r="K116" s="32"/>
      <c r="L116" s="33">
        <f t="shared" si="34"/>
        <v>0</v>
      </c>
      <c r="M116" s="32"/>
      <c r="N116" s="32"/>
      <c r="O116" s="34">
        <f t="shared" si="35"/>
        <v>0</v>
      </c>
      <c r="P116" s="44"/>
      <c r="Q116" s="44"/>
      <c r="R116" s="37">
        <f t="shared" si="36"/>
        <v>0</v>
      </c>
      <c r="S116" s="38">
        <f t="shared" si="37"/>
        <v>0</v>
      </c>
      <c r="T116" s="39"/>
      <c r="U116" s="42">
        <f>IFERROR(__xludf.DUMMYFUNCTION("""COMPUTED_VALUE"""),0.0)</f>
        <v>0</v>
      </c>
    </row>
    <row r="117" ht="37.5" customHeight="1">
      <c r="B117" s="25">
        <v>9.0</v>
      </c>
      <c r="C117" s="26" t="str">
        <f>IFERROR(__xludf.DUMMYFUNCTION("""COMPUTED_VALUE"""),"HIFNI")</f>
        <v>HIFNI</v>
      </c>
      <c r="D117" s="27" t="str">
        <f>IFERROR(__xludf.DUMMYFUNCTION("""COMPUTED_VALUE"""),"OP MESIN")</f>
        <v>OP MESIN</v>
      </c>
      <c r="E117" s="28"/>
      <c r="F117" s="52">
        <f>IFERROR(__xludf.DUMMYFUNCTION("""COMPUTED_VALUE"""),0.0)</f>
        <v>0</v>
      </c>
      <c r="G117" s="30">
        <v>50000.0</v>
      </c>
      <c r="H117" s="31">
        <f t="shared" si="31"/>
        <v>0</v>
      </c>
      <c r="I117" s="31">
        <f t="shared" si="32"/>
        <v>0</v>
      </c>
      <c r="J117" s="32" t="str">
        <f t="shared" si="33"/>
        <v/>
      </c>
      <c r="K117" s="32"/>
      <c r="L117" s="33">
        <f t="shared" si="34"/>
        <v>0</v>
      </c>
      <c r="M117" s="32"/>
      <c r="N117" s="32"/>
      <c r="O117" s="34">
        <f t="shared" si="35"/>
        <v>0</v>
      </c>
      <c r="P117" s="44"/>
      <c r="Q117" s="44"/>
      <c r="R117" s="37">
        <f t="shared" si="36"/>
        <v>0</v>
      </c>
      <c r="S117" s="38">
        <f t="shared" si="37"/>
        <v>0</v>
      </c>
      <c r="T117" s="39"/>
      <c r="U117" s="42">
        <f>IFERROR(__xludf.DUMMYFUNCTION("""COMPUTED_VALUE"""),0.0)</f>
        <v>0</v>
      </c>
    </row>
    <row r="118" ht="37.5" customHeight="1">
      <c r="B118" s="25">
        <v>10.0</v>
      </c>
      <c r="C118" s="25" t="str">
        <f>IFERROR(__xludf.DUMMYFUNCTION("""COMPUTED_VALUE"""),"IIS")</f>
        <v>IIS</v>
      </c>
      <c r="D118" s="146" t="str">
        <f>IFERROR(__xludf.DUMMYFUNCTION("""COMPUTED_VALUE"""),"PACKING")</f>
        <v>PACKING</v>
      </c>
      <c r="E118" s="51"/>
      <c r="F118" s="52">
        <f>IFERROR(__xludf.DUMMYFUNCTION("""COMPUTED_VALUE"""),0.0)</f>
        <v>0</v>
      </c>
      <c r="G118" s="45"/>
      <c r="H118" s="31">
        <f t="shared" si="31"/>
        <v>0</v>
      </c>
      <c r="I118" s="31">
        <f t="shared" si="32"/>
        <v>0</v>
      </c>
      <c r="J118" s="32" t="str">
        <f t="shared" si="33"/>
        <v/>
      </c>
      <c r="K118" s="32"/>
      <c r="L118" s="33">
        <f t="shared" si="34"/>
        <v>0</v>
      </c>
      <c r="M118" s="32"/>
      <c r="N118" s="32"/>
      <c r="O118" s="34">
        <f t="shared" si="35"/>
        <v>0</v>
      </c>
      <c r="P118" s="44"/>
      <c r="Q118" s="44"/>
      <c r="R118" s="37">
        <f t="shared" si="36"/>
        <v>0</v>
      </c>
      <c r="S118" s="38">
        <f t="shared" si="37"/>
        <v>0</v>
      </c>
      <c r="T118" s="39"/>
      <c r="U118" s="42">
        <f>IFERROR(__xludf.DUMMYFUNCTION("""COMPUTED_VALUE"""),0.0)</f>
        <v>0</v>
      </c>
    </row>
    <row r="119" ht="37.5" customHeight="1">
      <c r="B119" s="25">
        <v>11.0</v>
      </c>
      <c r="C119" s="25"/>
      <c r="D119" s="146"/>
      <c r="E119" s="51"/>
      <c r="F119" s="52">
        <f>IFERROR(__xludf.DUMMYFUNCTION("""COMPUTED_VALUE"""),0.0)</f>
        <v>0</v>
      </c>
      <c r="G119" s="45"/>
      <c r="H119" s="31">
        <f t="shared" si="31"/>
        <v>0</v>
      </c>
      <c r="I119" s="31">
        <f t="shared" si="32"/>
        <v>0</v>
      </c>
      <c r="J119" s="32" t="str">
        <f t="shared" si="33"/>
        <v/>
      </c>
      <c r="K119" s="32"/>
      <c r="L119" s="33">
        <f t="shared" si="34"/>
        <v>0</v>
      </c>
      <c r="M119" s="32"/>
      <c r="N119" s="32"/>
      <c r="O119" s="34">
        <f t="shared" si="35"/>
        <v>0</v>
      </c>
      <c r="P119" s="44"/>
      <c r="Q119" s="44"/>
      <c r="R119" s="37">
        <f t="shared" si="36"/>
        <v>0</v>
      </c>
      <c r="S119" s="38">
        <f t="shared" si="37"/>
        <v>0</v>
      </c>
      <c r="T119" s="39"/>
      <c r="U119" s="42">
        <f>IFERROR(__xludf.DUMMYFUNCTION("""COMPUTED_VALUE"""),0.0)</f>
        <v>0</v>
      </c>
    </row>
    <row r="120" ht="37.5" customHeight="1">
      <c r="B120" s="25">
        <v>12.0</v>
      </c>
      <c r="C120" s="25"/>
      <c r="D120" s="146"/>
      <c r="E120" s="51"/>
      <c r="F120" s="52">
        <f>IFERROR(__xludf.DUMMYFUNCTION("""COMPUTED_VALUE"""),0.0)</f>
        <v>0</v>
      </c>
      <c r="G120" s="45"/>
      <c r="H120" s="31">
        <f t="shared" si="31"/>
        <v>0</v>
      </c>
      <c r="I120" s="31">
        <f t="shared" si="32"/>
        <v>0</v>
      </c>
      <c r="J120" s="32" t="str">
        <f t="shared" si="33"/>
        <v/>
      </c>
      <c r="K120" s="32"/>
      <c r="L120" s="33">
        <f t="shared" si="34"/>
        <v>0</v>
      </c>
      <c r="M120" s="32"/>
      <c r="N120" s="32"/>
      <c r="O120" s="34">
        <f t="shared" si="35"/>
        <v>0</v>
      </c>
      <c r="P120" s="44"/>
      <c r="Q120" s="44"/>
      <c r="R120" s="37">
        <f t="shared" si="36"/>
        <v>0</v>
      </c>
      <c r="S120" s="38">
        <f t="shared" si="37"/>
        <v>0</v>
      </c>
      <c r="T120" s="39"/>
      <c r="U120" s="42">
        <f>IFERROR(__xludf.DUMMYFUNCTION("""COMPUTED_VALUE"""),0.0)</f>
        <v>0</v>
      </c>
    </row>
    <row r="121" ht="37.5" customHeight="1">
      <c r="B121" s="25">
        <v>13.0</v>
      </c>
      <c r="C121" s="25"/>
      <c r="D121" s="146"/>
      <c r="E121" s="51"/>
      <c r="F121" s="52">
        <f>IFERROR(__xludf.DUMMYFUNCTION("""COMPUTED_VALUE"""),0.0)</f>
        <v>0</v>
      </c>
      <c r="G121" s="45"/>
      <c r="H121" s="31">
        <f t="shared" si="31"/>
        <v>0</v>
      </c>
      <c r="I121" s="31">
        <f t="shared" si="32"/>
        <v>0</v>
      </c>
      <c r="J121" s="32" t="str">
        <f t="shared" si="33"/>
        <v/>
      </c>
      <c r="K121" s="32"/>
      <c r="L121" s="33">
        <f t="shared" si="34"/>
        <v>0</v>
      </c>
      <c r="M121" s="32"/>
      <c r="N121" s="32"/>
      <c r="O121" s="34">
        <f t="shared" si="35"/>
        <v>0</v>
      </c>
      <c r="P121" s="44"/>
      <c r="Q121" s="44"/>
      <c r="R121" s="37">
        <f t="shared" si="36"/>
        <v>0</v>
      </c>
      <c r="S121" s="38">
        <f t="shared" si="37"/>
        <v>0</v>
      </c>
      <c r="T121" s="39"/>
      <c r="U121" s="42">
        <f>IFERROR(__xludf.DUMMYFUNCTION("""COMPUTED_VALUE"""),0.0)</f>
        <v>0</v>
      </c>
    </row>
    <row r="122" ht="37.5" customHeight="1">
      <c r="B122" s="25">
        <v>14.0</v>
      </c>
      <c r="C122" s="25"/>
      <c r="D122" s="146"/>
      <c r="E122" s="51"/>
      <c r="F122" s="52">
        <f>IFERROR(__xludf.DUMMYFUNCTION("""COMPUTED_VALUE"""),0.0)</f>
        <v>0</v>
      </c>
      <c r="G122" s="45"/>
      <c r="H122" s="31">
        <f t="shared" si="31"/>
        <v>0</v>
      </c>
      <c r="I122" s="31">
        <f t="shared" si="32"/>
        <v>0</v>
      </c>
      <c r="J122" s="32" t="str">
        <f t="shared" si="33"/>
        <v/>
      </c>
      <c r="K122" s="32"/>
      <c r="L122" s="33">
        <f t="shared" si="34"/>
        <v>0</v>
      </c>
      <c r="M122" s="32"/>
      <c r="N122" s="32"/>
      <c r="O122" s="34">
        <f t="shared" si="35"/>
        <v>0</v>
      </c>
      <c r="P122" s="44"/>
      <c r="Q122" s="44"/>
      <c r="R122" s="37">
        <f t="shared" si="36"/>
        <v>0</v>
      </c>
      <c r="S122" s="38">
        <f t="shared" si="37"/>
        <v>0</v>
      </c>
      <c r="T122" s="39"/>
      <c r="U122" s="42">
        <f>IFERROR(__xludf.DUMMYFUNCTION("""COMPUTED_VALUE"""),0.0)</f>
        <v>0</v>
      </c>
    </row>
    <row r="123" ht="37.5" customHeight="1">
      <c r="B123" s="25">
        <v>15.0</v>
      </c>
      <c r="C123" s="49"/>
      <c r="D123" s="51"/>
      <c r="E123" s="51"/>
      <c r="F123" s="42">
        <f>IFERROR(__xludf.DUMMYFUNCTION("""COMPUTED_VALUE"""),0.0)</f>
        <v>0</v>
      </c>
      <c r="G123" s="45"/>
      <c r="H123" s="31">
        <f t="shared" si="31"/>
        <v>0</v>
      </c>
      <c r="I123" s="31">
        <f t="shared" si="32"/>
        <v>0</v>
      </c>
      <c r="J123" s="32" t="str">
        <f t="shared" si="33"/>
        <v/>
      </c>
      <c r="K123" s="32"/>
      <c r="L123" s="33">
        <f t="shared" si="34"/>
        <v>0</v>
      </c>
      <c r="M123" s="32"/>
      <c r="N123" s="32"/>
      <c r="O123" s="34">
        <f t="shared" si="35"/>
        <v>0</v>
      </c>
      <c r="P123" s="44"/>
      <c r="Q123" s="44"/>
      <c r="R123" s="37">
        <f t="shared" si="36"/>
        <v>0</v>
      </c>
      <c r="S123" s="38">
        <f t="shared" si="37"/>
        <v>0</v>
      </c>
      <c r="T123" s="51"/>
      <c r="U123" s="42">
        <f>IFERROR(__xludf.DUMMYFUNCTION("""COMPUTED_VALUE"""),0.0)</f>
        <v>0</v>
      </c>
    </row>
    <row r="124" ht="37.5" customHeight="1">
      <c r="B124" s="25">
        <v>16.0</v>
      </c>
      <c r="C124" s="25"/>
      <c r="D124" s="146"/>
      <c r="E124" s="51"/>
      <c r="F124" s="52">
        <f>IFERROR(__xludf.DUMMYFUNCTION("""COMPUTED_VALUE"""),0.0)</f>
        <v>0</v>
      </c>
      <c r="G124" s="45"/>
      <c r="H124" s="31">
        <f t="shared" si="31"/>
        <v>0</v>
      </c>
      <c r="I124" s="31">
        <f t="shared" si="32"/>
        <v>0</v>
      </c>
      <c r="J124" s="32" t="str">
        <f t="shared" si="33"/>
        <v/>
      </c>
      <c r="K124" s="32"/>
      <c r="L124" s="33">
        <f t="shared" si="34"/>
        <v>0</v>
      </c>
      <c r="M124" s="32"/>
      <c r="N124" s="32"/>
      <c r="O124" s="34">
        <f t="shared" si="35"/>
        <v>0</v>
      </c>
      <c r="P124" s="44"/>
      <c r="Q124" s="44"/>
      <c r="R124" s="37">
        <f t="shared" si="36"/>
        <v>0</v>
      </c>
      <c r="S124" s="38">
        <f t="shared" si="37"/>
        <v>0</v>
      </c>
      <c r="T124" s="39"/>
      <c r="U124" s="42">
        <f>IFERROR(__xludf.DUMMYFUNCTION("""COMPUTED_VALUE"""),0.0)</f>
        <v>0</v>
      </c>
    </row>
    <row r="125" ht="37.5" customHeight="1">
      <c r="B125" s="25">
        <v>17.0</v>
      </c>
      <c r="C125" s="25"/>
      <c r="D125" s="146"/>
      <c r="E125" s="51"/>
      <c r="F125" s="52">
        <f>IFERROR(__xludf.DUMMYFUNCTION("""COMPUTED_VALUE"""),0.0)</f>
        <v>0</v>
      </c>
      <c r="G125" s="45"/>
      <c r="H125" s="31">
        <f t="shared" si="31"/>
        <v>0</v>
      </c>
      <c r="I125" s="31">
        <f t="shared" si="32"/>
        <v>0</v>
      </c>
      <c r="J125" s="32" t="str">
        <f t="shared" si="33"/>
        <v/>
      </c>
      <c r="K125" s="32"/>
      <c r="L125" s="33">
        <f t="shared" si="34"/>
        <v>0</v>
      </c>
      <c r="M125" s="32"/>
      <c r="N125" s="32"/>
      <c r="O125" s="34">
        <f t="shared" si="35"/>
        <v>0</v>
      </c>
      <c r="P125" s="44"/>
      <c r="Q125" s="44"/>
      <c r="R125" s="37">
        <f t="shared" si="36"/>
        <v>0</v>
      </c>
      <c r="S125" s="38">
        <f t="shared" si="37"/>
        <v>0</v>
      </c>
      <c r="T125" s="39"/>
      <c r="U125" s="42">
        <f>IFERROR(__xludf.DUMMYFUNCTION("""COMPUTED_VALUE"""),0.0)</f>
        <v>0</v>
      </c>
    </row>
    <row r="126" ht="37.5" customHeight="1">
      <c r="B126" s="25">
        <v>18.0</v>
      </c>
      <c r="C126" s="49"/>
      <c r="D126" s="51"/>
      <c r="E126" s="51"/>
      <c r="F126" s="42">
        <f>IFERROR(__xludf.DUMMYFUNCTION("""COMPUTED_VALUE"""),0.0)</f>
        <v>0</v>
      </c>
      <c r="G126" s="53"/>
      <c r="H126" s="31">
        <f t="shared" si="31"/>
        <v>0</v>
      </c>
      <c r="I126" s="31">
        <f t="shared" si="32"/>
        <v>0</v>
      </c>
      <c r="J126" s="32" t="str">
        <f t="shared" si="33"/>
        <v/>
      </c>
      <c r="K126" s="32"/>
      <c r="L126" s="33">
        <f t="shared" si="34"/>
        <v>0</v>
      </c>
      <c r="M126" s="32"/>
      <c r="N126" s="32"/>
      <c r="O126" s="34">
        <f t="shared" si="35"/>
        <v>0</v>
      </c>
      <c r="P126" s="44"/>
      <c r="Q126" s="44"/>
      <c r="R126" s="37">
        <f t="shared" si="36"/>
        <v>0</v>
      </c>
      <c r="S126" s="38">
        <f t="shared" si="37"/>
        <v>0</v>
      </c>
      <c r="T126" s="51"/>
      <c r="U126" s="42">
        <f>IFERROR(__xludf.DUMMYFUNCTION("""COMPUTED_VALUE"""),0.0)</f>
        <v>0</v>
      </c>
    </row>
    <row r="127" ht="37.5" customHeight="1">
      <c r="B127" s="25">
        <v>19.0</v>
      </c>
      <c r="C127" s="49"/>
      <c r="D127" s="51"/>
      <c r="E127" s="51"/>
      <c r="F127" s="42">
        <f>IFERROR(__xludf.DUMMYFUNCTION("""COMPUTED_VALUE"""),0.0)</f>
        <v>0</v>
      </c>
      <c r="G127" s="53"/>
      <c r="H127" s="31">
        <f t="shared" si="31"/>
        <v>0</v>
      </c>
      <c r="I127" s="31">
        <f t="shared" si="32"/>
        <v>0</v>
      </c>
      <c r="J127" s="32" t="str">
        <f t="shared" si="33"/>
        <v/>
      </c>
      <c r="K127" s="32"/>
      <c r="L127" s="33">
        <f t="shared" si="34"/>
        <v>0</v>
      </c>
      <c r="M127" s="32"/>
      <c r="N127" s="32"/>
      <c r="O127" s="34">
        <f t="shared" si="35"/>
        <v>0</v>
      </c>
      <c r="P127" s="44"/>
      <c r="Q127" s="44"/>
      <c r="R127" s="37">
        <f t="shared" si="36"/>
        <v>0</v>
      </c>
      <c r="S127" s="38">
        <f t="shared" si="37"/>
        <v>0</v>
      </c>
      <c r="T127" s="51"/>
      <c r="U127" s="42">
        <f>IFERROR(__xludf.DUMMYFUNCTION("""COMPUTED_VALUE"""),0.0)</f>
        <v>0</v>
      </c>
    </row>
    <row r="128" ht="37.5" customHeight="1">
      <c r="B128" s="25">
        <v>20.0</v>
      </c>
      <c r="C128" s="49"/>
      <c r="D128" s="51"/>
      <c r="E128" s="51"/>
      <c r="F128" s="42"/>
      <c r="G128" s="53"/>
      <c r="H128" s="31">
        <f t="shared" si="31"/>
        <v>0</v>
      </c>
      <c r="I128" s="31">
        <f t="shared" si="32"/>
        <v>0</v>
      </c>
      <c r="J128" s="32" t="str">
        <f t="shared" si="33"/>
        <v/>
      </c>
      <c r="K128" s="32"/>
      <c r="L128" s="33">
        <f t="shared" si="34"/>
        <v>0</v>
      </c>
      <c r="M128" s="32"/>
      <c r="N128" s="32"/>
      <c r="O128" s="34">
        <f t="shared" si="35"/>
        <v>0</v>
      </c>
      <c r="P128" s="44"/>
      <c r="Q128" s="44"/>
      <c r="R128" s="37">
        <f t="shared" si="36"/>
        <v>0</v>
      </c>
      <c r="S128" s="38">
        <f t="shared" si="37"/>
        <v>0</v>
      </c>
      <c r="T128" s="51"/>
      <c r="U128" s="42">
        <f>IFERROR(__xludf.DUMMYFUNCTION("""COMPUTED_VALUE"""),0.0)</f>
        <v>0</v>
      </c>
    </row>
    <row r="129" ht="37.5" customHeight="1">
      <c r="B129" s="25">
        <v>21.0</v>
      </c>
      <c r="C129" s="49"/>
      <c r="D129" s="51"/>
      <c r="E129" s="51"/>
      <c r="F129" s="42"/>
      <c r="G129" s="53"/>
      <c r="H129" s="31">
        <f t="shared" si="31"/>
        <v>0</v>
      </c>
      <c r="I129" s="31">
        <f t="shared" si="32"/>
        <v>0</v>
      </c>
      <c r="J129" s="32" t="str">
        <f t="shared" si="33"/>
        <v/>
      </c>
      <c r="K129" s="32"/>
      <c r="L129" s="33">
        <f t="shared" si="34"/>
        <v>0</v>
      </c>
      <c r="M129" s="32"/>
      <c r="N129" s="32"/>
      <c r="O129" s="34">
        <f t="shared" si="35"/>
        <v>0</v>
      </c>
      <c r="P129" s="44"/>
      <c r="Q129" s="44"/>
      <c r="R129" s="37">
        <f t="shared" si="36"/>
        <v>0</v>
      </c>
      <c r="S129" s="38">
        <f t="shared" si="37"/>
        <v>0</v>
      </c>
      <c r="T129" s="51"/>
      <c r="U129" s="42"/>
    </row>
    <row r="130" ht="37.5" customHeight="1">
      <c r="B130" s="25">
        <v>22.0</v>
      </c>
      <c r="C130" s="49"/>
      <c r="D130" s="51"/>
      <c r="E130" s="51"/>
      <c r="F130" s="42"/>
      <c r="G130" s="53"/>
      <c r="H130" s="31">
        <f t="shared" si="31"/>
        <v>0</v>
      </c>
      <c r="I130" s="31">
        <f t="shared" si="32"/>
        <v>0</v>
      </c>
      <c r="J130" s="32" t="str">
        <f t="shared" si="33"/>
        <v/>
      </c>
      <c r="K130" s="32"/>
      <c r="L130" s="33">
        <f t="shared" si="34"/>
        <v>0</v>
      </c>
      <c r="M130" s="32"/>
      <c r="N130" s="32"/>
      <c r="O130" s="34">
        <f t="shared" si="35"/>
        <v>0</v>
      </c>
      <c r="P130" s="44"/>
      <c r="Q130" s="44"/>
      <c r="R130" s="37">
        <f t="shared" si="36"/>
        <v>0</v>
      </c>
      <c r="S130" s="38">
        <f t="shared" si="37"/>
        <v>0</v>
      </c>
      <c r="T130" s="51"/>
      <c r="U130" s="42"/>
    </row>
    <row r="131">
      <c r="B131" s="54"/>
      <c r="F131" s="55" t="s">
        <v>21</v>
      </c>
      <c r="S131" s="56">
        <f>SUM(S109:S130)</f>
        <v>0</v>
      </c>
      <c r="T131" s="57"/>
      <c r="U131" s="58"/>
    </row>
    <row r="132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</row>
    <row r="133">
      <c r="B133" s="67" t="s">
        <v>21</v>
      </c>
      <c r="F133" s="68">
        <f>S31+S56+S81+S106+S131</f>
        <v>0</v>
      </c>
      <c r="T133" s="69"/>
    </row>
  </sheetData>
  <mergeCells count="25">
    <mergeCell ref="B2:E3"/>
    <mergeCell ref="F2:T3"/>
    <mergeCell ref="H4:O4"/>
    <mergeCell ref="P4:R4"/>
    <mergeCell ref="S4:S5"/>
    <mergeCell ref="T4:T5"/>
    <mergeCell ref="U4:U5"/>
    <mergeCell ref="B8:E8"/>
    <mergeCell ref="B31:E31"/>
    <mergeCell ref="F31:R31"/>
    <mergeCell ref="B33:E33"/>
    <mergeCell ref="B56:E56"/>
    <mergeCell ref="F56:R56"/>
    <mergeCell ref="B58:E58"/>
    <mergeCell ref="B131:E131"/>
    <mergeCell ref="B133:E133"/>
    <mergeCell ref="F133:S133"/>
    <mergeCell ref="T133:U133"/>
    <mergeCell ref="B81:E81"/>
    <mergeCell ref="F81:R81"/>
    <mergeCell ref="B83:E83"/>
    <mergeCell ref="B106:E106"/>
    <mergeCell ref="F106:R106"/>
    <mergeCell ref="B108:E108"/>
    <mergeCell ref="F131:R131"/>
  </mergeCells>
  <drawing r:id="rId1"/>
</worksheet>
</file>